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tocklist" sheetId="2" r:id="rId6"/>
    <sheet state="visible" name="modal" sheetId="3" r:id="rId7"/>
    <sheet state="visible" name="Pemasukan" sheetId="4" r:id="rId8"/>
    <sheet state="visible" name="Pengeluaran" sheetId="5" r:id="rId9"/>
    <sheet state="visible" name="Pumps to buy" sheetId="6" r:id="rId10"/>
  </sheets>
  <definedNames/>
  <calcPr/>
</workbook>
</file>

<file path=xl/sharedStrings.xml><?xml version="1.0" encoding="utf-8"?>
<sst xmlns="http://schemas.openxmlformats.org/spreadsheetml/2006/main" count="4947" uniqueCount="2860">
  <si>
    <t>Timestamp</t>
  </si>
  <si>
    <t>Nama lengkap</t>
  </si>
  <si>
    <t>No. HP yang terdaftar di WA</t>
  </si>
  <si>
    <t>Nama lengkap pasangan</t>
  </si>
  <si>
    <t>No. HP pasangan yang terdaftar di WA</t>
  </si>
  <si>
    <t>Alamat domisili</t>
  </si>
  <si>
    <t>Alamat pengiriman</t>
  </si>
  <si>
    <t>Pengiriman</t>
  </si>
  <si>
    <t>Durasi sewa</t>
  </si>
  <si>
    <t>Unit yang akan disewa</t>
  </si>
  <si>
    <t>Username Instagram</t>
  </si>
  <si>
    <t>Follow instagram @sewasamamira</t>
  </si>
  <si>
    <t>Foto KTP suami</t>
  </si>
  <si>
    <t>Bukti transfer deposit</t>
  </si>
  <si>
    <t>Foto KTP istri</t>
  </si>
  <si>
    <t>Foto KTP suami dan istri</t>
  </si>
  <si>
    <t>Column 17</t>
  </si>
  <si>
    <t>Irma khairunnisa</t>
  </si>
  <si>
    <t>089601661537</t>
  </si>
  <si>
    <t>Dicka nirwansyah</t>
  </si>
  <si>
    <t>081324366585</t>
  </si>
  <si>
    <t>jl madrasah 1 rt 26 rw 03 gandul</t>
  </si>
  <si>
    <t>Shopee</t>
  </si>
  <si>
    <t>7 hari</t>
  </si>
  <si>
    <t>spectra dual compact</t>
  </si>
  <si>
    <t>irmakhnisa</t>
  </si>
  <si>
    <t>Nadya Wulandari Rahmadi</t>
  </si>
  <si>
    <t>082295284178</t>
  </si>
  <si>
    <t>Febryci Legirian</t>
  </si>
  <si>
    <t>+628117137420</t>
  </si>
  <si>
    <t>Suvarna Sutera
Cluster Dakota 16 No. 50
Kec. Sindang Jaya
Kab. Tangerang 
Prov. Banten 
15560</t>
  </si>
  <si>
    <t>Gabag Maximo</t>
  </si>
  <si>
    <t>ayinshabrina</t>
  </si>
  <si>
    <t>https://drive.google.com/open?id=1WUwSgwIE-UB3ttSb9WvRnCg6qTnHMMIq</t>
  </si>
  <si>
    <t>https://drive.google.com/open?id=1cGbzaZh4OOVOwt9dHwX-evhkZm2bHVd7</t>
  </si>
  <si>
    <t>https://drive.google.com/open?id=1LeNETdX8-VHkD16maD3SelFRImXKgzkM</t>
  </si>
  <si>
    <t>Susan suwuwaty</t>
  </si>
  <si>
    <t>082211883368</t>
  </si>
  <si>
    <t>Rommy Tandradynata</t>
  </si>
  <si>
    <t>08111816809</t>
  </si>
  <si>
    <t xml:space="preserve">Jl  bsd sektor I no 66 </t>
  </si>
  <si>
    <t>Anggrek loka sektor 2.1 blok i no 12</t>
  </si>
  <si>
    <t xml:space="preserve">Unit baru momabae compact s+ </t>
  </si>
  <si>
    <t>Sansan_shu</t>
  </si>
  <si>
    <t>https://drive.google.com/open?id=1LSUncHpZSKUqB1iF30KOvTy0WqOZM9MY</t>
  </si>
  <si>
    <t>https://drive.google.com/open?id=1fTpG2A2v3S4CdYDwlB9-CXnl2Pniau9b, https://drive.google.com/open?id=150ErVuDNsI85oIzhI8bNEfBdFRxM_fwF</t>
  </si>
  <si>
    <t>https://drive.google.com/open?id=1b_z47WzwoJ6iZxSXgug7AAsmn4vvg-eF</t>
  </si>
  <si>
    <t>Devi Apriani</t>
  </si>
  <si>
    <t>08121478760</t>
  </si>
  <si>
    <t>Reuben Komala</t>
  </si>
  <si>
    <t>081311447700</t>
  </si>
  <si>
    <t>The Casilla Townhouse, unit B. Jl. Cilandak Dalam no. 22, Cilandak Barat, Jakarta Selatan</t>
  </si>
  <si>
    <t>Luar shopee (JNE/Instant (order sendiri)/Same day (order sendiri)</t>
  </si>
  <si>
    <t>Nevia milk warmer</t>
  </si>
  <si>
    <t>@isobelolita</t>
  </si>
  <si>
    <t>https://drive.google.com/open?id=1gA2yokVq4VuAf1ya0s60k6zqse7iLEOV</t>
  </si>
  <si>
    <t>https://drive.google.com/open?id=1UJgSVEDeDtLJO4KqA-DSqvQrSuoFx3nn</t>
  </si>
  <si>
    <t>https://drive.google.com/open?id=1ZZsfNApD30qXXfLhZ8N3wDKumGvR-fjW</t>
  </si>
  <si>
    <t xml:space="preserve">Mayang Gita Tamara </t>
  </si>
  <si>
    <t>085768062295</t>
  </si>
  <si>
    <t>Aji gustoponi</t>
  </si>
  <si>
    <t>+62 812-7778-0275</t>
  </si>
  <si>
    <t xml:space="preserve">Cluster taman palem merah 6a </t>
  </si>
  <si>
    <t xml:space="preserve">Cluster taman palem merah 6a no 6 </t>
  </si>
  <si>
    <t>Spectra dual compact</t>
  </si>
  <si>
    <t>Mayanggitatamara</t>
  </si>
  <si>
    <t>https://drive.google.com/open?id=1f4FTqpwuXut4Flv7Mwp--FU8ejF_UiLl</t>
  </si>
  <si>
    <t>https://drive.google.com/open?id=1gxRwqS3ghNp5nrj4devn3Nc6cdZHd5a3</t>
  </si>
  <si>
    <t>Erlita Triandini Pratiwi</t>
  </si>
  <si>
    <t>081291810124</t>
  </si>
  <si>
    <t>Erfikhar Fadhlurrahman</t>
  </si>
  <si>
    <t>+62 812-9862-3199</t>
  </si>
  <si>
    <t>Binong Permai B-11/11 RT 04 RW 12 Kec. Curug Kel. Binong Kab.Tangerang</t>
  </si>
  <si>
    <t xml:space="preserve">Griya Muda (Jl. Inspeksi 2 No.1, RT.004/RW.005, Kunciran Indah, Kec. Pinang, Kota Tangerang, Banten 15144) Lantai 2 no B.2.1 </t>
  </si>
  <si>
    <t>Spectra 9+ &amp; Mom uung handsfree</t>
  </si>
  <si>
    <t>erltripr</t>
  </si>
  <si>
    <t>https://drive.google.com/open?id=1BQbdfzKOO_T1CEZESBpH9kUWCt-zsT2Q</t>
  </si>
  <si>
    <t>https://drive.google.com/open?id=1R8uuPoss1CttS0CV9L9tydsjGtyMhgkI</t>
  </si>
  <si>
    <t>https://drive.google.com/open?id=1y6HVHepgRdF4jGoGbXw7uZmjKPikTcpJ</t>
  </si>
  <si>
    <t>Mahardiani Beningrum</t>
  </si>
  <si>
    <t>081287615055</t>
  </si>
  <si>
    <t>Lincah Wahyono</t>
  </si>
  <si>
    <t>+62 812-9015-4205</t>
  </si>
  <si>
    <t>Bukit Serpong Mas Blok D5 No 5
Jl. Raya Serpong Kilometer 7, Pakulonan, Kec. Serpong Utara, Kota Tangerang Selatan, Banten 15325</t>
  </si>
  <si>
    <t>Momabae handsfree</t>
  </si>
  <si>
    <t>@dianbening74</t>
  </si>
  <si>
    <t>https://drive.google.com/open?id=17AC54joHrskWGPPHeZhtE_gys-_kAJll</t>
  </si>
  <si>
    <t>https://drive.google.com/open?id=1gAQhsiEu5z5k5_cJ_Uf1yyMRwYS40aSY</t>
  </si>
  <si>
    <t>Gita</t>
  </si>
  <si>
    <t>081211054211</t>
  </si>
  <si>
    <t xml:space="preserve">Putra </t>
  </si>
  <si>
    <t>081802535816</t>
  </si>
  <si>
    <t xml:space="preserve">Jl. Syafiul Ikhwan RT 07/ RW 02 No 18A Jaticempaka, Pondok Gede, Bekasi </t>
  </si>
  <si>
    <t xml:space="preserve">Spectra dual compact </t>
  </si>
  <si>
    <t>@gitaavana</t>
  </si>
  <si>
    <t>https://drive.google.com/open?id=1cTE7q0UYRWyYatpjsFYZLGiL0SPQ2Cie</t>
  </si>
  <si>
    <t>https://drive.google.com/open?id=10PzLpJeQIPDTyKSWEX9LGulpht_c3N7i</t>
  </si>
  <si>
    <t>https://drive.google.com/open?id=17TbdsAxdC99tZ9vNeC4K1rZbDOoj90el</t>
  </si>
  <si>
    <t>Arnila julianti frahatini</t>
  </si>
  <si>
    <t>089681478738</t>
  </si>
  <si>
    <t>Wahyu hidayat</t>
  </si>
  <si>
    <t>+62 896-3848-8355</t>
  </si>
  <si>
    <t>Karawaci, kota tangerang</t>
  </si>
  <si>
    <t>Jl. Pesantren 1 no.20 kel. Pabuaran, karawaci kota tangerang</t>
  </si>
  <si>
    <t>Momabae omni</t>
  </si>
  <si>
    <t>arnilajf_</t>
  </si>
  <si>
    <t>https://drive.google.com/open?id=1U4oeqvk1XkB65lH3Y8qq31muQ4ywCgQD</t>
  </si>
  <si>
    <t>https://drive.google.com/open?id=1gaIxrN1qXP40-jsFIzoSBfudyb7bBmOg</t>
  </si>
  <si>
    <t>https://drive.google.com/open?id=1TnlOhvylF7q39Uo_O6YtICB_GlFy6m7s</t>
  </si>
  <si>
    <t>Tika Dwi Astuti</t>
  </si>
  <si>
    <t>085717924576</t>
  </si>
  <si>
    <t>Eko Akhsanul Fikri</t>
  </si>
  <si>
    <t>+62 878-7190-0815</t>
  </si>
  <si>
    <t>Jl. H. Kayar No. 36 RT 9/RW 6, Kel. Ciganjur, Kec. Jagakarsa, Jakarta Selatan</t>
  </si>
  <si>
    <t>Tika Dwi A (Kontrakan Umi Sur sebelah warung Bude Emi)
Jl. H. Kayar No. 36 RT 9/RW 6, Kel. Ciganjur, Kec. Jagakarsa, Jakarta Selatan 12630</t>
  </si>
  <si>
    <t>14 hari</t>
  </si>
  <si>
    <t>Gabag I-Max Pro LED</t>
  </si>
  <si>
    <t>ticapricorn24</t>
  </si>
  <si>
    <t>https://drive.google.com/open?id=1eNhBy16BhSnJr2uP0a7m9ZzJRcvwsqMM</t>
  </si>
  <si>
    <t>https://drive.google.com/open?id=1cIJU1GJF50XpSLD2IqDaXgHOrBYnpRJp, https://drive.google.com/open?id=1qb4PITcTZUH5C8JUPoupjWtxwe2D6aRf</t>
  </si>
  <si>
    <t>https://drive.google.com/open?id=1NSvhiOoZV-cUKBCidm19ChWbrinZvV5W</t>
  </si>
  <si>
    <t>Esa safitri</t>
  </si>
  <si>
    <t>085828165137</t>
  </si>
  <si>
    <t>Arpan</t>
  </si>
  <si>
    <t>087840633411</t>
  </si>
  <si>
    <t>Jl kh syahdan no 19A kelurahan palmerah kecamatan palmerah</t>
  </si>
  <si>
    <t>Jl kh syahdan no 19A kelurahan palmerah kecamatan palmerah 11480</t>
  </si>
  <si>
    <t>30 hari</t>
  </si>
  <si>
    <t>Pompa spectra 9+</t>
  </si>
  <si>
    <t>Esasftr</t>
  </si>
  <si>
    <t>https://drive.google.com/open?id=199I7nSvN5Uvu0pbpZhrKEq8HL53me0CL</t>
  </si>
  <si>
    <t>https://drive.google.com/open?id=1L2tJOqcpRSO31Ztj1fks9F4XGwE9yzVf</t>
  </si>
  <si>
    <t>https://drive.google.com/open?id=1FSV4yMv-IyNkxDhrzAFlrtj9aom4E--K</t>
  </si>
  <si>
    <t>Ayuni Purnamasari</t>
  </si>
  <si>
    <t>085966778989</t>
  </si>
  <si>
    <t>Hanly Aries B</t>
  </si>
  <si>
    <t>081977777009</t>
  </si>
  <si>
    <t>Menaggio Barat 3 no.33 Curug Sangereng, Kelapa Dua, Kab. Tangerang</t>
  </si>
  <si>
    <t>Menaggio Barat 3 no. 33 Curug Sangereng, Kelapa Dua, Kab. Tangerang.
15810</t>
  </si>
  <si>
    <t>Momabae Omni</t>
  </si>
  <si>
    <t>Ochibi89</t>
  </si>
  <si>
    <t>https://drive.google.com/open?id=1e2BxLF6nGo2Yo2SGVDIL9kJbmbLDdnyI</t>
  </si>
  <si>
    <t>https://drive.google.com/open?id=1A7AbaIwi59x_KLbnmbXk5pfvI6jDyfCh, https://drive.google.com/open?id=1i3cvb-fD_jj_--4aqVAtro0Sw-gGlYI2</t>
  </si>
  <si>
    <t>https://drive.google.com/open?id=1yc0QJQdqDOKU5R_gpFntnF-5PZ-wSf0T</t>
  </si>
  <si>
    <t>Nova Yunita Sari</t>
  </si>
  <si>
    <t>087771661914</t>
  </si>
  <si>
    <t>Suherli</t>
  </si>
  <si>
    <t>+6289651079786</t>
  </si>
  <si>
    <t>Perum kiara rahayu blok G1 no.4 walantaka serang-banten (belakang SMA ciruas)</t>
  </si>
  <si>
    <t>Perum kiara rahayu blok G1 no.27 walantaka serang-banten (belakang SMA ciruas)</t>
  </si>
  <si>
    <t>POMPA ASI HANDFREE MOM UUNG</t>
  </si>
  <si>
    <t>Nova.yunsar</t>
  </si>
  <si>
    <t>https://drive.google.com/open?id=137Wv8WjKHPZA5N6s1U5-3Kg0U2kpxypE</t>
  </si>
  <si>
    <t>https://drive.google.com/open?id=1rNNngu_MEXndPoUJk2f5JSgfAzCdlTHB, https://drive.google.com/open?id=1qKdciVK6azPgVADhFvHCu0U5AC8xqcjc</t>
  </si>
  <si>
    <t>https://drive.google.com/open?id=1VrVVnTbcy3ZZonXfWc3E6MrePLErcGGc</t>
  </si>
  <si>
    <t xml:space="preserve">Titik Puspitasari </t>
  </si>
  <si>
    <t>087734924514</t>
  </si>
  <si>
    <t>Bahri Wahabi</t>
  </si>
  <si>
    <t>082112442047</t>
  </si>
  <si>
    <t>Villa Mutiara Pluit Blok F 10 no 19 RT 06 RW 09, Periuk, Kota Tangerang</t>
  </si>
  <si>
    <t>tpuspita</t>
  </si>
  <si>
    <t>https://drive.google.com/open?id=17skqk6azwTQgse1qyIZff9qBG6IIHs-G</t>
  </si>
  <si>
    <t>https://drive.google.com/open?id=1hFl2xFeqUwa0uhK7GVtyF8Bf6X2AdiRE</t>
  </si>
  <si>
    <t>https://drive.google.com/open?id=19WOBwrkTQBCRc7MFaQqrLqIFJOHT2tQC</t>
  </si>
  <si>
    <t>https://drive.google.com/open?id=1-iY0wgl5ct7oJlZw3ajydbNn5zzTdq36</t>
  </si>
  <si>
    <t>Monica</t>
  </si>
  <si>
    <t>087781754903</t>
  </si>
  <si>
    <t>Kevin Andrew</t>
  </si>
  <si>
    <t>081901231188</t>
  </si>
  <si>
    <t xml:space="preserve">Apartemen Mediterania Marina </t>
  </si>
  <si>
    <t>Apartment Aston Marina Ancol, Jalan Lodan Raya Blok B, RT.8/RW.11, Ancol, Tanjung Priok (Tower C / 09 / BG), KOTA JAKARTA UTARA, TANJUNG PRIOK, DKI JAKARTA, ID, 14350</t>
  </si>
  <si>
    <t>louisacinom</t>
  </si>
  <si>
    <t>https://drive.google.com/open?id=1olFAOFPCt_IVmWdiO2Hx6BAeHVNdng5d</t>
  </si>
  <si>
    <t>https://drive.google.com/open?id=1dd8YMpNZLO2cujfJdn9KeMjugkkh74ee</t>
  </si>
  <si>
    <t>https://drive.google.com/open?id=1_-A5a02TqrvZBzrC4TrcHlORf_VB4v-o</t>
  </si>
  <si>
    <t>https://drive.google.com/open?id=18hYvYW_AmJ2ZM6RblhtHiNlbP3HwChdS</t>
  </si>
  <si>
    <t>Habibatuz Zuhriyah</t>
  </si>
  <si>
    <t>085173220597</t>
  </si>
  <si>
    <t>Hari Fajar Apriyanto</t>
  </si>
  <si>
    <t>082298269527</t>
  </si>
  <si>
    <t>Jl. Bandeng III, No. 106a, RT/RW 007/009, Kel. Karawaci Baru, Kec. Karawaci, Kota Tangerang</t>
  </si>
  <si>
    <t>Pompa ASI Gabag Maximo</t>
  </si>
  <si>
    <t>@rifajarap</t>
  </si>
  <si>
    <t>https://drive.google.com/open?id=1sOahDj4s6I1VsDtmXGnYAwy3norlF0JF</t>
  </si>
  <si>
    <t>https://drive.google.com/open?id=10PhfSWOIvmrJ0s58rM5JJH5B3OLtmth5</t>
  </si>
  <si>
    <t>https://drive.google.com/open?id=1fSl6He8j0oeYNRHnW3qjPEC0RyEBTxY1</t>
  </si>
  <si>
    <t>https://drive.google.com/open?id=1gowrVq3Om19E-q2-jqvSB99oFaYK-9xq</t>
  </si>
  <si>
    <t>Agnes Christyati</t>
  </si>
  <si>
    <t>082213798220</t>
  </si>
  <si>
    <t>Yudhi Raharjo</t>
  </si>
  <si>
    <t>081389969922</t>
  </si>
  <si>
    <t>mutiara panongan 2 tahap 2 blok bb1no.38, serdang kulon, panongan, kab tangerang</t>
  </si>
  <si>
    <t>mutiara panongan 2 tahap 2 blok bb1 no.38, serdang kulon, panongan, kab tangerang</t>
  </si>
  <si>
    <t>momabae omni</t>
  </si>
  <si>
    <t>@agneschrstyt</t>
  </si>
  <si>
    <t>https://drive.google.com/open?id=1Zsax98VoMTAMWRr0wkUBc_tLAg35q0fA</t>
  </si>
  <si>
    <t>https://drive.google.com/open?id=19hDJMYEM6fICnLtBie-CXrRAwJnDRy-p</t>
  </si>
  <si>
    <t>https://drive.google.com/open?id=1rgb19xltYgg416lawh0oZ2Wqk4ST8bo_</t>
  </si>
  <si>
    <t>https://drive.google.com/open?id=1gTT0RsNBBZn6XUyJyoyxmu3-95bHy1Tp</t>
  </si>
  <si>
    <t xml:space="preserve">Nurul Rahma </t>
  </si>
  <si>
    <t>082226286167</t>
  </si>
  <si>
    <t xml:space="preserve">Nandi agung </t>
  </si>
  <si>
    <t>082198933309</t>
  </si>
  <si>
    <t xml:space="preserve">Cluster graha buana blok A1 RT 03 RW 14 larangan selatan kota Tangerang </t>
  </si>
  <si>
    <t>Cipondoh</t>
  </si>
  <si>
    <t>Gabag maximo</t>
  </si>
  <si>
    <t>Nurul_rahmaaa</t>
  </si>
  <si>
    <t>https://drive.google.com/open?id=1MdQF7mIvGGruRU5si6pxj2sfzDXlur8D</t>
  </si>
  <si>
    <t>https://drive.google.com/open?id=17zNbxEaMc4x4034mzsAJlUO0RcluzSwd</t>
  </si>
  <si>
    <t>https://drive.google.com/open?id=1yz7soltM4D57ehA98Zz9aeVoaWn4Tyba</t>
  </si>
  <si>
    <t>https://drive.google.com/open?id=1zmsfDs6Rt7lPVCuQxOEEKiXIKsyMHa_y</t>
  </si>
  <si>
    <t>Farida Norma Yulia</t>
  </si>
  <si>
    <t>081232244405</t>
  </si>
  <si>
    <t>Faris Hamidi</t>
  </si>
  <si>
    <t>087885293737</t>
  </si>
  <si>
    <t>https://goo.gl/maps/9Ckvxk67MUkcVXPG7
Jl. Gr B. Utara X Blok GR8 No.49, Pd. Kacang Bar., Kec. Pd. Aren, Kota Tangerang Selatan, Banten 15226</t>
  </si>
  <si>
    <t>Bebetons Neo</t>
  </si>
  <si>
    <t>@ridanorma</t>
  </si>
  <si>
    <t>https://drive.google.com/open?id=1ciuv6oA9s780N3lxU3oo15V3sOBnubxE</t>
  </si>
  <si>
    <t>https://drive.google.com/open?id=1pBxuoUL_IMBULj8rzFeyWLG8rxvCVHu_</t>
  </si>
  <si>
    <t>https://drive.google.com/open?id=19FUGLQIAvVpR4GiLCDcQDkv_4xl3KAip</t>
  </si>
  <si>
    <t>Christina Hariyanti</t>
  </si>
  <si>
    <t>081911304300</t>
  </si>
  <si>
    <t>Hans Kristian</t>
  </si>
  <si>
    <t>081946891881</t>
  </si>
  <si>
    <t>Villa melati mas</t>
  </si>
  <si>
    <t>Pompa Gabag maximo</t>
  </si>
  <si>
    <t>chchch.chc</t>
  </si>
  <si>
    <t>https://drive.google.com/open?id=1uduwCDW1RCCYcYHoQquSjs1cUFY3eb5a</t>
  </si>
  <si>
    <t>https://drive.google.com/open?id=1M7XcaR2SuTFSbXDc6czJ-_lts62CKRCn</t>
  </si>
  <si>
    <t>https://drive.google.com/open?id=1gRqK3_nqaMT-beqadx2VNzqFBVKH1Yev</t>
  </si>
  <si>
    <t>https://drive.google.com/open?id=1-w4aoEOQMa_PsjhgZmoNy5k5XkHFXxt5</t>
  </si>
  <si>
    <t>Rizki Widya Herawati</t>
  </si>
  <si>
    <t>081218994062</t>
  </si>
  <si>
    <t>Raihan Mahendra Duta</t>
  </si>
  <si>
    <t>+62 855-9116-8367</t>
  </si>
  <si>
    <t xml:space="preserve">Pasar Lama Serpong RT013/005 no.25 Cilenggang, serpong, Tangerang Selatan </t>
  </si>
  <si>
    <t>PT Indotech Karya Mandiri, green lake city rukan crown blok M no.17 tangerang</t>
  </si>
  <si>
    <t>Gabag imax pro cup led</t>
  </si>
  <si>
    <t>Rissrizki</t>
  </si>
  <si>
    <t>https://drive.google.com/open?id=1LguCCx-0dy6vXa03UgQNtVX80dgHmr6Q</t>
  </si>
  <si>
    <t>https://drive.google.com/open?id=1bcdyguk1p-Rf1cXYt8fQW8osZarxZH7h</t>
  </si>
  <si>
    <t>https://drive.google.com/open?id=1UhusJYu5mZ6JCqkxhWIZbNO1yN_1z5gp</t>
  </si>
  <si>
    <t>https://drive.google.com/open?id=1jt8pOcl-NyqEoF0FdqEXTj0IehAi9o2n</t>
  </si>
  <si>
    <t>Jihaan Jullanaar Mazaya</t>
  </si>
  <si>
    <t>085314901070</t>
  </si>
  <si>
    <t>Mulia Ramdhan Fauzani</t>
  </si>
  <si>
    <t>+62 812-1841-8424</t>
  </si>
  <si>
    <t>Perumahan Soditan Permai Gang Salak Blok D13 Ngadirejo, Sukoharjo, Kartasura, Jateng 57161</t>
  </si>
  <si>
    <t>jijullanar</t>
  </si>
  <si>
    <t>https://drive.google.com/open?id=1GUqS90VO33yKY7SoLLk5EuL_6xYapCFZ</t>
  </si>
  <si>
    <t>https://drive.google.com/open?id=1ojGkflwyC6s5s-wmEk1EY0bSTe9Xx8R0</t>
  </si>
  <si>
    <t>https://drive.google.com/open?id=1gB0fM2_KZ4TAdnXUhvPBI5PXbOOzdTcl</t>
  </si>
  <si>
    <t>https://drive.google.com/open?id=1DP9mMLDxArjMYD65gPgkVd7fvy3S_JEO</t>
  </si>
  <si>
    <t xml:space="preserve">Novita Zulfadesi </t>
  </si>
  <si>
    <t>085363834217</t>
  </si>
  <si>
    <t>Walid Bimantoro Ray</t>
  </si>
  <si>
    <t>+62 858-1476-5636</t>
  </si>
  <si>
    <t xml:space="preserve">Perumahan Pesona Lebak Wangi 2, Jalan Kelengkeng Blok C3 No. 24, RT.2/RW.10, Lebak Wangi, Sepatan, Kab. Tangerang, Banten </t>
  </si>
  <si>
    <t>Pompa Asi Portable Mom Uung</t>
  </si>
  <si>
    <t>nvt.zlfds</t>
  </si>
  <si>
    <t>https://drive.google.com/open?id=1CWCTdMdavd9I0KocfsVcBYs_jx5eDDwQ</t>
  </si>
  <si>
    <t>https://drive.google.com/open?id=1f9sjQ8zy529Ug0TOubNIc7rFth_DlNKu</t>
  </si>
  <si>
    <t>https://drive.google.com/open?id=1lrw_IwRUXGnfvvp5aMuCDqIT1wYOU7nl</t>
  </si>
  <si>
    <t>https://drive.google.com/open?id=18jtfIRNMm24m_BUd8XNhDbhr6Cb1f_vi</t>
  </si>
  <si>
    <t>dini privea</t>
  </si>
  <si>
    <t>08161924259</t>
  </si>
  <si>
    <t>wahyu H</t>
  </si>
  <si>
    <t>+62 813-1552-8897</t>
  </si>
  <si>
    <t xml:space="preserve">Discovery Aluvia Blok S No. 8, Bintaro Tangerang Selatan (belakang driving range golf bintaro) </t>
  </si>
  <si>
    <t>Spectra H1 handsfree</t>
  </si>
  <si>
    <t>@dinipriveap</t>
  </si>
  <si>
    <t>https://drive.google.com/open?id=1NWkQAxp-f3UUAvwFOIn9THfHzMWWAiAu</t>
  </si>
  <si>
    <t>https://drive.google.com/open?id=1WlPFO2HUGr-GH2GLgcpyJEISob-Bjy4I</t>
  </si>
  <si>
    <t>https://drive.google.com/open?id=1j16Grytb3ksMT9gz_bSOXVywSXAlAdBL</t>
  </si>
  <si>
    <t>https://drive.google.com/open?id=18ajkGBkjSxDQeFxTPQtlJVxqaBrkf7SX</t>
  </si>
  <si>
    <t>Diajeng Ramadawati</t>
  </si>
  <si>
    <t>08818099981</t>
  </si>
  <si>
    <t>Gigih Prasetyo</t>
  </si>
  <si>
    <t>085171533927</t>
  </si>
  <si>
    <t>Jl. Damai No. 44b Rt. 15/rw. 2, Petukangan Selatan, Pesanggrahan, Kota Jakarta Selatan, DKI Jakarta, Indonesia, 12270</t>
  </si>
  <si>
    <t>Momabae compact S+</t>
  </si>
  <si>
    <t>@diajengrmdwt</t>
  </si>
  <si>
    <t>https://drive.google.com/open?id=1hb7RfKeY2LoVfMcyU8LauB3fQi1kwVDC</t>
  </si>
  <si>
    <t>https://drive.google.com/open?id=1X_FFcS5DKneWwd1zwRvr7VsfZr2NF3rm</t>
  </si>
  <si>
    <t>https://drive.google.com/open?id=1YdpWwe8k9UDtsOCdLEg-3iGt0Hz7tZBS</t>
  </si>
  <si>
    <t>https://drive.google.com/open?id=1qBJrcesml0aCqZHnaCrk9cqI87NYf2wP</t>
  </si>
  <si>
    <t>Farrah Alizah</t>
  </si>
  <si>
    <t>081294166544</t>
  </si>
  <si>
    <t xml:space="preserve">Muhammad Hafizhul Arief </t>
  </si>
  <si>
    <t>+62 812-8864-6411</t>
  </si>
  <si>
    <t>Jakarta</t>
  </si>
  <si>
    <t>Komplek Masnaga Blok D No 12 RT 016 / RW 003 Kel. Pulogebang Kec. Cakung Jakarta Timur 13950</t>
  </si>
  <si>
    <t>Gabag Imax Pro Cup</t>
  </si>
  <si>
    <t>byetoxicx</t>
  </si>
  <si>
    <t>https://drive.google.com/open?id=1wqBjB6ZH-5SLQwY7n2JijW1iQSdLBTkT</t>
  </si>
  <si>
    <t>https://drive.google.com/open?id=12meRA3WRTIdDHjqz9EAcZ51jyQMAuqar</t>
  </si>
  <si>
    <t>https://drive.google.com/open?id=1MbQNjdzWX4BOjx6mwumfs3Dh3Zhc9tNq</t>
  </si>
  <si>
    <t>https://drive.google.com/open?id=1awJcvUtz91TCGfUbl_vXhh5ObyCb_aCx</t>
  </si>
  <si>
    <t>Nur Qori’ah</t>
  </si>
  <si>
    <t>085784573719</t>
  </si>
  <si>
    <t>Ivan Dwi Santoso</t>
  </si>
  <si>
    <t>081217076500</t>
  </si>
  <si>
    <t>Jl Kh Thosin No 45A RT 003 RW 005 Kel. Sudimara Selatan, Kec. Ciledug, Tangerang 15151</t>
  </si>
  <si>
    <t>Spectra 9+</t>
  </si>
  <si>
    <t>qorinsane</t>
  </si>
  <si>
    <t>https://drive.google.com/open?id=1L0SR69eskL1kftA8cbAyFgIqxmV1AUD_</t>
  </si>
  <si>
    <t>https://drive.google.com/open?id=1L68XAyig4n91bmtnGlJoVRs-XJ1ZH4E6</t>
  </si>
  <si>
    <t>https://drive.google.com/open?id=1CYfQn8sYF6opS_YhTrblQGgjckGoWurW</t>
  </si>
  <si>
    <t>https://drive.google.com/open?id=1sXOsMQQKB5HMvUOPAOuD8eBpnuP19dgN</t>
  </si>
  <si>
    <t>Nurbani Syifa</t>
  </si>
  <si>
    <t>085718526011</t>
  </si>
  <si>
    <t xml:space="preserve">Indra Permana Putra </t>
  </si>
  <si>
    <t>+62 895-0870-8388</t>
  </si>
  <si>
    <t xml:space="preserve">Pintu air no 22c Jakarta Pusat </t>
  </si>
  <si>
    <t xml:space="preserve">Terminal 2F Bandara Soekarno Hatta </t>
  </si>
  <si>
    <t>@nurbanisyifa</t>
  </si>
  <si>
    <t>https://drive.google.com/open?id=1fePvAccdF2YijAUH56FigJ-U7hrSLrme</t>
  </si>
  <si>
    <t>https://drive.google.com/open?id=1gq7bY_g1fzyr3jWlImBEJHVbj-jJ3iKw</t>
  </si>
  <si>
    <t>https://drive.google.com/open?id=1y8p2VHW1_mxMLXMqMwBEN4ho_dLiI_Pt</t>
  </si>
  <si>
    <t>https://drive.google.com/open?id=1hI5KB8rh2jambA0pg4r2zPc0PQMYqKsM</t>
  </si>
  <si>
    <t>Widyastuti</t>
  </si>
  <si>
    <t>081328752515</t>
  </si>
  <si>
    <t>Stefanus yuda pratama</t>
  </si>
  <si>
    <t>081382295962</t>
  </si>
  <si>
    <t>Perumahan bumi satria kencana.Jl arjuna 3 no 10 rt 6 rw 21 kelurahan kayuringin jaya kecamayan bekasi selatan.kota bekasi,jawa barat</t>
  </si>
  <si>
    <t>Momabae compact S</t>
  </si>
  <si>
    <t>Pungky_widyastuti</t>
  </si>
  <si>
    <t>https://drive.google.com/open?id=1VqFggbu6SamXgHLY6wYBaQkqIYrlwQuk</t>
  </si>
  <si>
    <t>https://drive.google.com/open?id=1x1D-Zi4eScM5RoP71AIwKLvcpu3CcOsE</t>
  </si>
  <si>
    <t>https://drive.google.com/open?id=1LOFgYLu9TbXZPN2tYKE2KzDeuKK8YoG3</t>
  </si>
  <si>
    <t>https://drive.google.com/open?id=112Q59AgCBG1Vi1dyEsVpxiEqnRbKVAeS</t>
  </si>
  <si>
    <t>Intan fajriyanti</t>
  </si>
  <si>
    <t>081226415566</t>
  </si>
  <si>
    <t>Dani suharto</t>
  </si>
  <si>
    <t>081226415522</t>
  </si>
  <si>
    <t>Jl kenconowungu III/24 karangay semarang barat kota semarang</t>
  </si>
  <si>
    <t>Mommabae omnie</t>
  </si>
  <si>
    <t>Intanfajriyabti</t>
  </si>
  <si>
    <t>https://drive.google.com/open?id=1Q3uiUFRQVXTDBZH_R64ZQchf-6bs99Tu</t>
  </si>
  <si>
    <t>https://drive.google.com/open?id=1ljMQ1tjk8QUKCixpsXPg8KdtrpHDv3V_</t>
  </si>
  <si>
    <t>https://drive.google.com/open?id=1oP9H0CHG50_XodXbZa6rEm4uiiegyZVO</t>
  </si>
  <si>
    <t>https://drive.google.com/open?id=1HWodmuhw815R8uBYEfrxaIhqYvGask1R</t>
  </si>
  <si>
    <t>Ayu Titik Triwahyuni</t>
  </si>
  <si>
    <t>087885340951</t>
  </si>
  <si>
    <t>Theodore Christopher</t>
  </si>
  <si>
    <t>082123823181</t>
  </si>
  <si>
    <t>Myza Cozmo Blok F 3 No. 1</t>
  </si>
  <si>
    <t>Momabae</t>
  </si>
  <si>
    <t>Nonnaayu</t>
  </si>
  <si>
    <t>https://drive.google.com/open?id=1srHUF3jfZEGatcHlRvLKTqDzHy78Qdwh</t>
  </si>
  <si>
    <t>https://drive.google.com/open?id=1NXo02vXUcZc4ORenzmGj0_SY7L13vC-R</t>
  </si>
  <si>
    <t>https://drive.google.com/open?id=1wIUE5gn9ORImx7U9wYppdTWdxvVmNM9b</t>
  </si>
  <si>
    <t>https://drive.google.com/open?id=15W-IXej7rWM4NIs7andZkBRQTGT0UiJ5</t>
  </si>
  <si>
    <t>Putri Nurafifah</t>
  </si>
  <si>
    <t>085781241222</t>
  </si>
  <si>
    <t>Muhamad Hakim</t>
  </si>
  <si>
    <t>Jl H Ilyas No 86 Lebak Bulus, Cilandak, Jaksel</t>
  </si>
  <si>
    <t>Spectra H1 dan Omni Momabae</t>
  </si>
  <si>
    <t>@putrinurafifah</t>
  </si>
  <si>
    <t>https://drive.google.com/open?id=1WT_7UMU5SVpKLdU_rj1fJaVuDLJ8nO-A</t>
  </si>
  <si>
    <t>https://drive.google.com/open?id=1_tFOuy0ilQMuDjJvfgCDAJOpO8jFUjYa</t>
  </si>
  <si>
    <t>https://drive.google.com/open?id=1vovd8SS-hhx3yYuhwi0c2FdOhgmclHRi</t>
  </si>
  <si>
    <t>rizky yuliani</t>
  </si>
  <si>
    <t>085349154900</t>
  </si>
  <si>
    <t>Dody handayani</t>
  </si>
  <si>
    <t>082298454446</t>
  </si>
  <si>
    <t>Jl kh hasyim ashari no 1 pinang tangerang</t>
  </si>
  <si>
    <t>Spectra 9 plus</t>
  </si>
  <si>
    <t>Dhedeee</t>
  </si>
  <si>
    <t>https://drive.google.com/open?id=1mfLCCYqpHzIRwgWvPV8PVayjPYMYLF9d</t>
  </si>
  <si>
    <t>https://drive.google.com/open?id=1Lwow6zzVgnXnvV7xypOCZzDwXX-DVlC_</t>
  </si>
  <si>
    <t>https://drive.google.com/open?id=15NTIYg96mqQf6AHgrOB_KAPr28wDkeEC</t>
  </si>
  <si>
    <t>Elok Nur Fauziyah</t>
  </si>
  <si>
    <t>085853982429</t>
  </si>
  <si>
    <t>Muhammad Dwifajar Sholeh</t>
  </si>
  <si>
    <t>082332572026</t>
  </si>
  <si>
    <t>Jl. Udayana No.57, Trawas, Mojokerto, Jawa Timur, 61375</t>
  </si>
  <si>
    <t>Jl. Udayana No.57 Rt.11/Rw.05 Ds. Tamiajeng, Kec. Trawas, Kab. Mojokerto, 61375</t>
  </si>
  <si>
    <t>Spectra dual compact, momabae compact</t>
  </si>
  <si>
    <t>eloknurfauziyah</t>
  </si>
  <si>
    <t>https://drive.google.com/open?id=1zHkLe_AmYrBzBPxKHg8gHrrhCgXAjtOc</t>
  </si>
  <si>
    <t>https://drive.google.com/open?id=1LISqHlabNGtD_EDQ4s0Og5p4i-QmEF51</t>
  </si>
  <si>
    <t>https://drive.google.com/open?id=1Y8_a09VwD4nQarhFCryaGL5_wT2uQYX2</t>
  </si>
  <si>
    <t>https://drive.google.com/open?id=1U6gcZ8eUyxxLnm6nAc6odqcrSZ3RT-IF</t>
  </si>
  <si>
    <t>Juli</t>
  </si>
  <si>
    <t>087788990656</t>
  </si>
  <si>
    <t>Vic</t>
  </si>
  <si>
    <t>085863231888</t>
  </si>
  <si>
    <t>Sunter karya selatan 6 blok b2 21</t>
  </si>
  <si>
    <t>Sama domisili</t>
  </si>
  <si>
    <t>Dual s spectra</t>
  </si>
  <si>
    <t>Juli.fransisca</t>
  </si>
  <si>
    <t>https://drive.google.com/open?id=17iXIqVMPCigCRHsAgpkwv9UswGuGCfKx</t>
  </si>
  <si>
    <t>https://drive.google.com/open?id=1crujjpmv_vBulr7-NIgB2O6mIvPvzCmv</t>
  </si>
  <si>
    <t>https://drive.google.com/open?id=1NaaQek2MhlNt9rb4GWBpsNcBqFR_NTHf</t>
  </si>
  <si>
    <t xml:space="preserve">Shafira Rizki Ramdhayani </t>
  </si>
  <si>
    <t>081292485452</t>
  </si>
  <si>
    <t>M. Billy Darisma</t>
  </si>
  <si>
    <t>082279818939</t>
  </si>
  <si>
    <t>Apartemen Puri Mansion, Tower Amethyst Unit TA-06L2, Kelurahan Duri Kosambi, Kecamatan Cengkareng, Jakarta Barat</t>
  </si>
  <si>
    <t>Spectra Dual Compact</t>
  </si>
  <si>
    <t>shafirarizkir</t>
  </si>
  <si>
    <t>https://drive.google.com/open?id=1VJ2hBRlRTVKIZXLkkS9cQUxASKgOWXPH</t>
  </si>
  <si>
    <t>https://drive.google.com/open?id=1dUNsRiZxXkGEG7AMDbm4EHzYSqGm3eFf</t>
  </si>
  <si>
    <t>https://drive.google.com/open?id=16hVN63QK_irbfxatBjWerADO-RIfsyu7</t>
  </si>
  <si>
    <t>https://drive.google.com/open?id=1BEZUTcGEOf2Ovhg_3OSuhb7AyFEql7m4</t>
  </si>
  <si>
    <t>Wanda Astuti Dirmansyah</t>
  </si>
  <si>
    <t>081288047493</t>
  </si>
  <si>
    <t>Wisnu Kurniawan</t>
  </si>
  <si>
    <t>+62895380431263</t>
  </si>
  <si>
    <t>Jakarta Timur</t>
  </si>
  <si>
    <t>Jl Manunggal XVII No.17 RT04/11, Lubang Buaya, Cipayung, Jaktim</t>
  </si>
  <si>
    <t>Wandasd</t>
  </si>
  <si>
    <t>https://drive.google.com/open?id=15ho9IXNbDLv7GxUL8c37ueMqQxNq71Dw</t>
  </si>
  <si>
    <t>https://drive.google.com/open?id=1zGBOK0A9lg3aEZk5rfQrizUSJQXuJ80z</t>
  </si>
  <si>
    <t>https://drive.google.com/open?id=1yMtSElqmULkYQxdk0vtcEnqxABUae18o</t>
  </si>
  <si>
    <t>https://drive.google.com/open?id=16Oon5XO1cMO6ppcygECi1MZNWsG-0UvC</t>
  </si>
  <si>
    <t>Booking untuk 20 agst</t>
  </si>
  <si>
    <t>Nina Darista</t>
  </si>
  <si>
    <t>089668982107</t>
  </si>
  <si>
    <t>Muhammad galih permana</t>
  </si>
  <si>
    <t>087831469115</t>
  </si>
  <si>
    <t>Cluster pesona legok blok e no 18</t>
  </si>
  <si>
    <t>Rsia pratiwi tangerang</t>
  </si>
  <si>
    <t>Naysynder</t>
  </si>
  <si>
    <t>https://drive.google.com/open?id=1yFq2BaH66yV4TRbtnjrvDzA-MtqKVfHs</t>
  </si>
  <si>
    <t>https://drive.google.com/open?id=1C8tc70FTFBpfrKcGu4Cu78N3JUvr-iZP</t>
  </si>
  <si>
    <t>https://drive.google.com/open?id=1ttIRSbGOlbaQN0BemdBGHtjmYe8iVvym</t>
  </si>
  <si>
    <t>Khuzaimah</t>
  </si>
  <si>
    <t>081210838843</t>
  </si>
  <si>
    <t>Muhammad idrus</t>
  </si>
  <si>
    <t>087808559430</t>
  </si>
  <si>
    <t>Jl h mencong gang saji 1 no 20 rt 001/010 ciledug tangerang</t>
  </si>
  <si>
    <t>IDEM</t>
  </si>
  <si>
    <t>omni mommabae</t>
  </si>
  <si>
    <t>Khuzaimah zema</t>
  </si>
  <si>
    <t>https://drive.google.com/open?id=1PCOTU2VgA8YaeKJTT4F1KxcbMOrp0DCs</t>
  </si>
  <si>
    <t>https://drive.google.com/open?id=1AaDV_HXOyWP_kyPSwthI2CQgezQk3obJ</t>
  </si>
  <si>
    <t>https://drive.google.com/open?id=1KXzmZ1deggOxOSPPeX02QayjNF63kZlg</t>
  </si>
  <si>
    <t>Xena Mellisa</t>
  </si>
  <si>
    <t>08214330563</t>
  </si>
  <si>
    <t>Kevin Leevanus</t>
  </si>
  <si>
    <t>+62 822-3080-0556</t>
  </si>
  <si>
    <t>Royal residence cluster Winchester B10/101
Kec. Lakarsantri
Kelurahan Sumur Welut
RT 006 RW 002 
Kode pos 60215</t>
  </si>
  <si>
    <t>Momabae Omni Handsfree</t>
  </si>
  <si>
    <t>xenamellisa_</t>
  </si>
  <si>
    <t>https://drive.google.com/open?id=10iMSSQ3XIR_JScvAVA9VgIqnMNOohfsV</t>
  </si>
  <si>
    <t>https://drive.google.com/open?id=1e97S4dxoTB2BMjQTrA_wRLogUq5vrvYN</t>
  </si>
  <si>
    <t>https://drive.google.com/open?id=1090zxaRgAc_53ecplClqZjAYNCPyVpUQ</t>
  </si>
  <si>
    <t>https://drive.google.com/open?id=1GqiDwKLanQbAaH8Hb3HirmG6Y4aciHaZ</t>
  </si>
  <si>
    <t>Elly Setyo Rini</t>
  </si>
  <si>
    <t>081365008178</t>
  </si>
  <si>
    <t>Susetyo Raharjo</t>
  </si>
  <si>
    <t>081316577001</t>
  </si>
  <si>
    <t>Jl Bidara Raya no 27 Blok AG Sektor III Bumi Puspitek Asri Kel. Pagedangan Kec. Pagedangan Kab. Tangerang</t>
  </si>
  <si>
    <t>Ebsolutelee</t>
  </si>
  <si>
    <t>https://drive.google.com/open?id=18LS6hKa6JGqc-BQcIkpF3NEYRB0z8GXF</t>
  </si>
  <si>
    <t>https://drive.google.com/open?id=1ovqHA3lQ1TjLIcsYA7lwzeI49Byvp4h7</t>
  </si>
  <si>
    <t>https://drive.google.com/open?id=1foSkscwZNFTJ5CZEPAtiVDdRGF2U1sAK</t>
  </si>
  <si>
    <t>Hari fajar apriyanto</t>
  </si>
  <si>
    <t>Jl. Tawes III, No. 165, RT/RW 04/04, Kel. Karawaci Baru, Kec. Karawaci, Kota Tangerang</t>
  </si>
  <si>
    <t>rifajarap</t>
  </si>
  <si>
    <t>https://drive.google.com/open?id=1L1rW_qhZnBGmz5mYD7SV_pkqYpZmNC06</t>
  </si>
  <si>
    <t>https://drive.google.com/open?id=1z2MfhvklkiK6mfdSbFoBfPdQ1ZvaiCcu</t>
  </si>
  <si>
    <t>https://drive.google.com/open?id=1OoII-ZfJaUfLdZYpDNkLyB_7yT_YAl7A</t>
  </si>
  <si>
    <t>https://drive.google.com/open?id=1wqxbrrwmrrqsAnnfM5BeP2wEtTKyGmsx</t>
  </si>
  <si>
    <t>Spectra S1+</t>
  </si>
  <si>
    <t>https://drive.google.com/open?id=1htXyEp3gEaUxkrtw5xNEPRut6JS3A0Fw</t>
  </si>
  <si>
    <t>https://drive.google.com/open?id=1liSt8a9WRNGj8-MPgYzwd78dwRLvH0G9</t>
  </si>
  <si>
    <t>https://drive.google.com/open?id=1AbF8BkckD07Yhk6UEpd7kbm5oNJ2PYDB</t>
  </si>
  <si>
    <t>Septi Nur Aini</t>
  </si>
  <si>
    <t>08993280638</t>
  </si>
  <si>
    <t>Hafidz Anshori</t>
  </si>
  <si>
    <t>+62 812-8752-3108</t>
  </si>
  <si>
    <t>Perumahan Metland Cibitung, Cluster Taman Cikini blok F7/3 Ds. Wanajaya, Kec. Cibitung Kab. Bekasi Jawa Barat</t>
  </si>
  <si>
    <t>PT Tiga Pilar Utama Karya Sentosa Jalan Jalur Sutera Timur blok 3b no 29 Perkantoran Alam Sutera</t>
  </si>
  <si>
    <t>@septy.bolang</t>
  </si>
  <si>
    <t>https://drive.google.com/open?id=1Ku-tNh2Omm_hDDj-6jmtGJ7vR92Wr4Z1</t>
  </si>
  <si>
    <t>https://drive.google.com/open?id=1QpvsP8SJfwXSoMgHeua93P9Lf-0kGnJE</t>
  </si>
  <si>
    <t>https://drive.google.com/open?id=1Qiq-NOgWj_r3NobQngZMC0LPxAC5UBzj</t>
  </si>
  <si>
    <t>https://drive.google.com/open?id=1_O5DbgJ5bWSnQnx-yv-TPrZBnfvio9aJ</t>
  </si>
  <si>
    <t xml:space="preserve">Arrahmi Putria Muchtaram </t>
  </si>
  <si>
    <t>081218942900</t>
  </si>
  <si>
    <t>Yusuf Fuad Yulianto</t>
  </si>
  <si>
    <t>087788000026</t>
  </si>
  <si>
    <t>Pondok Kelapa No 61</t>
  </si>
  <si>
    <t>Jl. Kp. Setu Gang H. Majar no 55, RT 14/ RW 03, Bintara Jaya , Bekasi</t>
  </si>
  <si>
    <t>Nevia Portable Warmer</t>
  </si>
  <si>
    <t>amimuchtaram</t>
  </si>
  <si>
    <t>https://drive.google.com/open?id=1ixyvN2iIy7MjgWeZ29ECdNkvcGtAhLKZ</t>
  </si>
  <si>
    <t>https://drive.google.com/open?id=1azWCkbKfIhnOFOr_lLXS9LhAI65odqyG</t>
  </si>
  <si>
    <t>https://drive.google.com/open?id=1mLS4QUdfsyWmFTH1ghd_RFCVjDOdEPcM</t>
  </si>
  <si>
    <t>https://drive.google.com/open?id=1he9nVRMPyHBOzwSqLo1PtKZ5JK2FkrMl</t>
  </si>
  <si>
    <t>Jane Devina Malik</t>
  </si>
  <si>
    <t>08125123311</t>
  </si>
  <si>
    <t>Bobby Suharto</t>
  </si>
  <si>
    <t>081234541388</t>
  </si>
  <si>
    <t>Jalan Letjen Sutoyo no 40. Pare- Kediri.</t>
  </si>
  <si>
    <t>Up: Velda
Summarecon Serpong
Pondok Hijau Golf
Amethyst Timur No.12
Tangerang 15810
081216215115</t>
  </si>
  <si>
    <t>janedevina</t>
  </si>
  <si>
    <t>https://drive.google.com/open?id=1sRRUbkVfV78hXhD8Nw3g5utkgWK9Sm_e</t>
  </si>
  <si>
    <t>https://drive.google.com/open?id=1Bti9lRbMDHfli-i5L-nWr_LVvEbC6cMx</t>
  </si>
  <si>
    <t>https://drive.google.com/open?id=1-1qmi4_gGHveiCn3LaQe41_wp_suQSjl</t>
  </si>
  <si>
    <t>Putri ramanda febrianti</t>
  </si>
  <si>
    <t>082297956224</t>
  </si>
  <si>
    <t>Pradiko roliwinsyah</t>
  </si>
  <si>
    <t>081294202675</t>
  </si>
  <si>
    <t>Kp Cijengir rt 008 rw 03 no 169 kel binong kec curug kab tangerang</t>
  </si>
  <si>
    <t>putrirefs</t>
  </si>
  <si>
    <t>https://drive.google.com/open?id=1Q8TNSXHBxscTDGLLeGLxSpiy75bjzHvt</t>
  </si>
  <si>
    <t>https://drive.google.com/open?id=1_d9F7F9jCVWUQNtWhfF3wrgGnFEv4s5O</t>
  </si>
  <si>
    <t>https://drive.google.com/open?id=1Cm__a7_Ri4huopHK4fiVA_sSpZG7f-Mp</t>
  </si>
  <si>
    <t>https://drive.google.com/open?id=1QFXBEvgLhNCWcUz50h6aA4NHuckXwCVJ</t>
  </si>
  <si>
    <t xml:space="preserve">Suci Wulandari Basuki </t>
  </si>
  <si>
    <t>081325982829</t>
  </si>
  <si>
    <t>Madani Rachmatullah</t>
  </si>
  <si>
    <t>085329001318</t>
  </si>
  <si>
    <t xml:space="preserve">Jln.Teratai Blok G No.2 003/004 Neroktog, Pinang, Kota Tangerang </t>
  </si>
  <si>
    <t>Momabae Omni dan Spectra Dual Compact</t>
  </si>
  <si>
    <t>suciwulandb_</t>
  </si>
  <si>
    <t>https://drive.google.com/open?id=1XkA0FWw2-KGb9tLIu6ow6T8afJ_nWWf9</t>
  </si>
  <si>
    <t>https://drive.google.com/open?id=1IROOWnI4qB-OQ9TRoelvFsjmEx5DrTgS</t>
  </si>
  <si>
    <t>https://drive.google.com/open?id=1l1XefUJiPuB99kxRJkSbOoccgy2aGWdf</t>
  </si>
  <si>
    <t>https://drive.google.com/open?id=1XRR-7Lv8NpokVMvj0qO__Muvy8IvbBJh</t>
  </si>
  <si>
    <t>Yani</t>
  </si>
  <si>
    <t>081298899952</t>
  </si>
  <si>
    <t>-</t>
  </si>
  <si>
    <t>Cluster virginia 2 no.8
Pantai indah kapuk 2
Kosambi - Tangerang 15214</t>
  </si>
  <si>
    <t>Spectra s1+ dan spectra dual s</t>
  </si>
  <si>
    <t>Yani.lun</t>
  </si>
  <si>
    <t>https://drive.google.com/open?id=1iGBKfE0BMApO8xTtl459n6yqQSXANwUi</t>
  </si>
  <si>
    <t>https://drive.google.com/open?id=1tgqsQ0pnPJ-JHOhwg8bColP0wc2jrcdj</t>
  </si>
  <si>
    <t>https://drive.google.com/open?id=1kSiOXOfNSrtZUMacMW5fd8r57ICjnIRH</t>
  </si>
  <si>
    <t>https://drive.google.com/open?id=14SPlWJQzRiIgdJeWbgda7RlSsc2ZiAXR</t>
  </si>
  <si>
    <t>Ayu Kumala Dewi</t>
  </si>
  <si>
    <t>081382386279</t>
  </si>
  <si>
    <t>Ar Rasyiid Akbar</t>
  </si>
  <si>
    <t>081546075622</t>
  </si>
  <si>
    <t>Perumahan Griya Serpong, Kademangan, Setu</t>
  </si>
  <si>
    <t>RS Sari Asih Ciputat</t>
  </si>
  <si>
    <t>ayukahaf</t>
  </si>
  <si>
    <t>https://drive.google.com/open?id=1ccKxfvQKsleDfrEeUN3b9ucyMuUlmM6S</t>
  </si>
  <si>
    <t>https://drive.google.com/open?id=1LAZ9_XjQc5x2gt5WdxYFRxwNzpyLzq_Y</t>
  </si>
  <si>
    <t>https://drive.google.com/open?id=1xeuHMUCX_8QmZfUT9zpiFFtmMNxzlDMw</t>
  </si>
  <si>
    <t xml:space="preserve">devi susilo </t>
  </si>
  <si>
    <t>081807347000</t>
  </si>
  <si>
    <t>andy kristanto</t>
  </si>
  <si>
    <t>08139637085</t>
  </si>
  <si>
    <t xml:space="preserve"> kana park Jl. Raya Rancaiyuh, Babat, Kec. Legok, Kabupaten Tangerang ( Maru E 1 no 10)</t>
  </si>
  <si>
    <t>devi_susilo</t>
  </si>
  <si>
    <t>https://drive.google.com/open?id=16hbtnqjSOa-J2kgOz4pncllMlNtwRDlE</t>
  </si>
  <si>
    <t>https://drive.google.com/open?id=11Egf5TVoMs7FztIL1eUCYRs0laMwrFFI</t>
  </si>
  <si>
    <t>https://drive.google.com/open?id=16yxIh5L-J2-LDRvRdA7f86SjbDzGO1hX</t>
  </si>
  <si>
    <t>Arci tamara</t>
  </si>
  <si>
    <t>082186669159</t>
  </si>
  <si>
    <t>Razief cholidy</t>
  </si>
  <si>
    <t>082306077775</t>
  </si>
  <si>
    <t>Jl imam bonjol, perumahan saburai estate 421B, langkapura, bandar lampung</t>
  </si>
  <si>
    <t>Jl pangeran Antasari gg sadar 2 no 9, kel kedamaian, Kec kedamaian, kota bandar lampung</t>
  </si>
  <si>
    <t xml:space="preserve">Arcitam </t>
  </si>
  <si>
    <t>https://drive.google.com/open?id=1kw_zml0v7F9FxhQ9vnGXBjhmNbJPglN0</t>
  </si>
  <si>
    <t>https://drive.google.com/open?id=19OM4s1jFWj3Ry6YhbabQ92liyF0K0cJJ</t>
  </si>
  <si>
    <t>https://drive.google.com/open?id=1gV-mX9JopEOhEQGNgo_HBtR9OZpjnUkW</t>
  </si>
  <si>
    <t>https://drive.google.com/open?id=1XTqsGSY6JjacuQMVT4oCiQjjGAA6XufE</t>
  </si>
  <si>
    <t xml:space="preserve">Siti Nurleli Jamil </t>
  </si>
  <si>
    <t>089658838628</t>
  </si>
  <si>
    <t xml:space="preserve">Muhammad Abdul Ghovur </t>
  </si>
  <si>
    <t>+62 852-1871-6191</t>
  </si>
  <si>
    <t xml:space="preserve">Gang Jambu Cipondoh kota Tangerang </t>
  </si>
  <si>
    <t xml:space="preserve">Mom Uung portable </t>
  </si>
  <si>
    <t>Snlelyj</t>
  </si>
  <si>
    <t>https://drive.google.com/open?id=1MYezAYl680rusx-fu3grP1Iv5Ho2nn-G</t>
  </si>
  <si>
    <t>https://drive.google.com/open?id=169kUBGzRzHSdD-nxdbRsbqwkOKbRQMd7</t>
  </si>
  <si>
    <t>https://drive.google.com/open?id=1cRbdtrfRCyXkNFRY89S9_Wdk-ODnMOMF</t>
  </si>
  <si>
    <t>https://drive.google.com/open?id=1N8uubE-PiszSWD8l4fe9z8nVjrznA7V-</t>
  </si>
  <si>
    <t>Fany Wulan Sary</t>
  </si>
  <si>
    <t>081383349626</t>
  </si>
  <si>
    <t>Dhamar Sakti Wiyono Putro</t>
  </si>
  <si>
    <t>+62 812-9575-5146</t>
  </si>
  <si>
    <t xml:space="preserve">Kota Tangerang </t>
  </si>
  <si>
    <t>Fanywulans</t>
  </si>
  <si>
    <t>https://drive.google.com/open?id=1FJK1bPhiZGjVymBbfVVXhT0IVruFFeZn</t>
  </si>
  <si>
    <t>https://drive.google.com/open?id=134TchI-uJGJQ9ebDDF7jsucEmbTNaz0a</t>
  </si>
  <si>
    <t>https://drive.google.com/open?id=1hRln6VY4gXIFKKry197eVFa--otv-ypP</t>
  </si>
  <si>
    <t>https://drive.google.com/open?id=1ANT-ndd-WbPqFq61PVaLftsdDGezyEcb</t>
  </si>
  <si>
    <t>caessar malik koesmanawan</t>
  </si>
  <si>
    <t>081389671058</t>
  </si>
  <si>
    <t>Viviana rahmawati</t>
  </si>
  <si>
    <t>087871117425</t>
  </si>
  <si>
    <t>Poris gaga baru no 40 rt04 rw 01, kel. Poris gaga baru, kec. Batu ceper, kota tangerang 15122
Patokan sebelah sdit annur poris gaga baru (di depan masjid annur)</t>
  </si>
  <si>
    <t>Jl. Imam Bonjol No.38, RT.003/RW.004, Sukajadi, Kec. Karawaci, Kota Tangerang, Banten 15113</t>
  </si>
  <si>
    <t>caessarmalik</t>
  </si>
  <si>
    <t>https://drive.google.com/open?id=1acYvpOaz5mQFb18wz4x_Fy9BOXa_0OsE</t>
  </si>
  <si>
    <t>https://drive.google.com/open?id=1PcQGwWNNQKDPS5K58bUb5QqtlFHBIIzO</t>
  </si>
  <si>
    <t>https://drive.google.com/open?id=1zUs0XkZPr8bOMijZRQw_2mLlLfBabfkI</t>
  </si>
  <si>
    <t>https://drive.google.com/open?id=1yPTIEHZUmEZ77SgH53xL1Lv-M62AU7eb</t>
  </si>
  <si>
    <t>Hartim Isnia Suratiwi</t>
  </si>
  <si>
    <t>089623006722</t>
  </si>
  <si>
    <t>Mohamad Reza Aliansyah</t>
  </si>
  <si>
    <t>08989983241</t>
  </si>
  <si>
    <t>Pondok Ungu Permai Blok AN6 No.3, Kaliabang Tengah, Bekasi Utara</t>
  </si>
  <si>
    <t>Jl. Bintaro Raya No.10A, RT.3/RW.10, Kby. Lama Utara, Kec. Kby. Lama, Kota Jakarta Selatan, Daerah Khusus Ibukota Jakarta 12240</t>
  </si>
  <si>
    <t>hartim_isnia</t>
  </si>
  <si>
    <t>https://drive.google.com/open?id=1AAaZX8eOADUOC-vcGW60MKJtPCg3Qvng</t>
  </si>
  <si>
    <t>https://drive.google.com/open?id=1j1lyDPjIgP7LbXFOoEjHm4-ZZ2lzUo5M</t>
  </si>
  <si>
    <t>https://drive.google.com/open?id=1FH59j5eXS24ujM4nY6oazu2Ldfr5Ag6k</t>
  </si>
  <si>
    <t>https://drive.google.com/open?id=1Lj-zMDfN-i7wM_snG-XUVCBMYgHajzDH</t>
  </si>
  <si>
    <t xml:space="preserve">Rizca Paramitha </t>
  </si>
  <si>
    <t>087888877095</t>
  </si>
  <si>
    <t xml:space="preserve">Algiri </t>
  </si>
  <si>
    <t>087722244195</t>
  </si>
  <si>
    <t xml:space="preserve">Cluster Allura 18 no 27 Lavon Swan City , kelurahan wanakerta kecamatan sindang jaya, kabupaten tangerang  </t>
  </si>
  <si>
    <t xml:space="preserve">Spectra dual s </t>
  </si>
  <si>
    <t>rizcaprmtha</t>
  </si>
  <si>
    <t>https://drive.google.com/open?id=1a-nrUC0qFM2R4OsJYmnPLqRCfyXrze1G</t>
  </si>
  <si>
    <t>https://drive.google.com/open?id=1Zk_fY0ko47VQDlie_uWXLaLZYW1LhKpv</t>
  </si>
  <si>
    <t>https://drive.google.com/open?id=1A7lzCEU5IzzD4tDcoC_Q8fEgAd-8k_Sh</t>
  </si>
  <si>
    <t>https://drive.google.com/open?id=1dGePIkuHDXRjsgqH4fqvffTX35ea9cF-</t>
  </si>
  <si>
    <t>Valentine tjandra</t>
  </si>
  <si>
    <t>081388113099</t>
  </si>
  <si>
    <t>Clive reinhard eleazar</t>
  </si>
  <si>
    <t>08119989482</t>
  </si>
  <si>
    <t>Citra 2</t>
  </si>
  <si>
    <t>Apartment ciputra international, tower amsterdam unit 10.10, rawa buaya, cengkareng (tempat kerja)</t>
  </si>
  <si>
    <t>Momabae omni 1 pcs</t>
  </si>
  <si>
    <t>Valentinetjandra</t>
  </si>
  <si>
    <t>https://drive.google.com/open?id=1d-zO9QwOv9QPD5lSge4jYmXucDtqE7xz</t>
  </si>
  <si>
    <t>https://drive.google.com/open?id=1sTHhhHmmMFsmDlQ0wanNx0ZwWENwiEr2</t>
  </si>
  <si>
    <t>https://drive.google.com/open?id=1UyenKc_UhPFYQbmhK9syR300LYOchTT5</t>
  </si>
  <si>
    <t>Yulyani Evi Ul Enja</t>
  </si>
  <si>
    <t>081902122566</t>
  </si>
  <si>
    <t xml:space="preserve">Zain Ardiansyah </t>
  </si>
  <si>
    <t>08158557871</t>
  </si>
  <si>
    <t xml:space="preserve">Jl Irigasi Sipon no 237 RT.4/3, Poris Plawad Utara, Cipondoh </t>
  </si>
  <si>
    <t xml:space="preserve">Jl Irigasi Sipon no 237 RT.4/3 Poris Plawad Utara, Cipondoh </t>
  </si>
  <si>
    <t>Spectra H1</t>
  </si>
  <si>
    <t>ul_enja</t>
  </si>
  <si>
    <t>https://drive.google.com/open?id=1SOT2EgcItyaam4-yDJ6G9PcLNfxrAG8t</t>
  </si>
  <si>
    <t>https://drive.google.com/open?id=1v8sK6MODyeSeY7T8gLKsGQKdGgGGBZ4q</t>
  </si>
  <si>
    <t>https://drive.google.com/open?id=17RN5pUZjs03sE176WdMvZsNVviLNOnMZ</t>
  </si>
  <si>
    <t>Tamara Clara Claudia</t>
  </si>
  <si>
    <t>081219994669</t>
  </si>
  <si>
    <t>Budiwiharjana</t>
  </si>
  <si>
    <t>081280022469</t>
  </si>
  <si>
    <t xml:space="preserve">Villa Regency Tangerang II Blok EA14 no. 24
Jl. Danau Tondano RT.003/RW.07
Kec. Pasarkemis Kab. Tangerang 
Banten - 15562 </t>
  </si>
  <si>
    <t xml:space="preserve">Mayora Group Headquarters (Global Marketing Lt. 5)
Jl. Daan Mogot KM 18, Cengkareng, Jakarta Barat 11840 </t>
  </si>
  <si>
    <t>momcozy V1 pro</t>
  </si>
  <si>
    <t>lalaclaudia</t>
  </si>
  <si>
    <t>https://drive.google.com/open?id=1-tKf8mDWpOq24TsT1qBytcI5gvwUNrnz</t>
  </si>
  <si>
    <t>https://drive.google.com/open?id=1qAyQoD5lSbXXYjtRhu7nI4eoXVPtTbWW</t>
  </si>
  <si>
    <t>https://drive.google.com/open?id=1qThU5-bJZLlVKmT5RpllAjCUdLN4PnQl</t>
  </si>
  <si>
    <t>https://drive.google.com/open?id=1eoMBEv4PK4CNhAJgeHZceFUQw8buMGwI</t>
  </si>
  <si>
    <t>Any S Alamsyah</t>
  </si>
  <si>
    <t>085321525888</t>
  </si>
  <si>
    <t>Tang Guo Jen</t>
  </si>
  <si>
    <t>081312920799</t>
  </si>
  <si>
    <t xml:space="preserve">Any S. Alamsyah 085321525888 Perumahan Puri Subang Asri Jl. Seledri Blok H no 05 (Rumah Paling Ujung) Kelurahan Sukamelang Kecamatan Subang Kabupaten Subang Provinsi Jawa Barat Indonesia - Postal Code  41211 </t>
  </si>
  <si>
    <t>Swing maxi 2</t>
  </si>
  <si>
    <t>@anysalamsyah_</t>
  </si>
  <si>
    <t>https://drive.google.com/open?id=1RBxDBWFlE5j4JbGuYR3xcFfvX7KcO0LX</t>
  </si>
  <si>
    <t>https://drive.google.com/open?id=1Sxmjb2UWNJc-q6LRCw8T-F8V1_bhYux-</t>
  </si>
  <si>
    <t>https://drive.google.com/open?id=1X6lvudHUqylWb6fGUKnWxaDUyqvwAVYe</t>
  </si>
  <si>
    <t>https://drive.google.com/open?id=1F717MCvqpR7gnALtZ6OG95w2rXC2gCW2</t>
  </si>
  <si>
    <t xml:space="preserve">Fany Wulan Sary </t>
  </si>
  <si>
    <t>Dhamar sakti wiyono putro</t>
  </si>
  <si>
    <t>Jl. Al-muhajirin 2 rt 03/10  no.51  (pabrik kerupuk pa makmun) kelurahan tanah tinggi kecamatan tangerang. Kode pos 15119.</t>
  </si>
  <si>
    <t>https://drive.google.com/open?id=1kZFEV7fong9h32i9jSv6sK7fubnY1GLi</t>
  </si>
  <si>
    <t>https://drive.google.com/open?id=1egqj1sJYN2Aoy96qb556s2PqHW-ViDJG</t>
  </si>
  <si>
    <t>https://drive.google.com/open?id=1_gVqZDII9ju5DeTGQnw0yjxJyo8h1AgK</t>
  </si>
  <si>
    <t>https://drive.google.com/open?id=1ak0-JFtXsTeAmnR7Uv-QPZDptiavp5QI</t>
  </si>
  <si>
    <t>Annisa Ayu C</t>
  </si>
  <si>
    <t>0818644947</t>
  </si>
  <si>
    <t>Aditya Pridiatama</t>
  </si>
  <si>
    <t>Jalan Damai 1 no.71, Periuk, Tangerang</t>
  </si>
  <si>
    <t>Jl. Raya Pajajaran No.14 No 62, RT.002/RW.005, Gandasari, Kec. Jatiuwung, Kabupaten Tangerang, Banten 15137 (kantor kolabora filatis)</t>
  </si>
  <si>
    <t>Ichhaci</t>
  </si>
  <si>
    <t>https://drive.google.com/open?id=1tmAhAtbFh_72c7KbEGRgscJXnSC6QTtz</t>
  </si>
  <si>
    <t>https://drive.google.com/open?id=1JvbC3FEjj3B8034TMAOsM0fWPtwr8fq5</t>
  </si>
  <si>
    <t>https://drive.google.com/open?id=1htAUXhRi_E2X_TKrKwTJG3bgRRj0-9_g</t>
  </si>
  <si>
    <t>https://drive.google.com/open?id=1z8TrVIEqSZW8WaITdpzFkkWmZiaJ2ILn</t>
  </si>
  <si>
    <t>Syerra Riswandi</t>
  </si>
  <si>
    <t>08999287812</t>
  </si>
  <si>
    <t>Zulkifli Halim</t>
  </si>
  <si>
    <t>08561397101</t>
  </si>
  <si>
    <t>Metland Puri Cluster Oxalis G9 no 20</t>
  </si>
  <si>
    <t>Momabae Omni dan Gabag Maximo</t>
  </si>
  <si>
    <t>syerrariswandi</t>
  </si>
  <si>
    <t>https://drive.google.com/open?id=1AH-JZwa01MX4wqi2fgVFWI_FlgokHVJA</t>
  </si>
  <si>
    <t>https://drive.google.com/open?id=1f9zCHyQhbAZt779CSPFKZgJKstSiUhqP</t>
  </si>
  <si>
    <t>https://drive.google.com/open?id=1p7kypx6hz_EDzXfFyPilMODJHRRuouYo</t>
  </si>
  <si>
    <t>Leni anggraini</t>
  </si>
  <si>
    <t>083875444494</t>
  </si>
  <si>
    <t>Aren Kartawi</t>
  </si>
  <si>
    <t>081298310191</t>
  </si>
  <si>
    <t>Jl Sukarela no 20 , RT 001/010 Penjaringan Jakarta Utara</t>
  </si>
  <si>
    <t>Jl Sukarela no 2A , RT 001/010 Penjaringan Jakarta Utara</t>
  </si>
  <si>
    <t>leniangg</t>
  </si>
  <si>
    <t>https://drive.google.com/open?id=1U2fXVpPuJpelgGMtJIoQZtdgiiEbNGkJ</t>
  </si>
  <si>
    <t>https://drive.google.com/open?id=1XHW6jURlgZUcf8wdj3vTrb19QdHSBtOU</t>
  </si>
  <si>
    <t>https://drive.google.com/open?id=11EJm2imNzt0K5RebeoxX7QGtYdZyoT1N</t>
  </si>
  <si>
    <t>https://drive.google.com/open?id=15Oxy_L_1LaMeqUreL8_Z4WJ_9Q98fmHM</t>
  </si>
  <si>
    <t>Jl sukarela no 20 RT 001/010 Penjaringan</t>
  </si>
  <si>
    <t>Jl sukarela no 2A RT 001/010 Penjaringan</t>
  </si>
  <si>
    <t>Mom Uung handsfree</t>
  </si>
  <si>
    <t>https://drive.google.com/open?id=1G0556HKcFX2-sNuA1uAwv-L5yLA6tHg9</t>
  </si>
  <si>
    <t>https://drive.google.com/open?id=1w_y5KxMbM6-7bVsO0Apf92DQa_vSxTCZ</t>
  </si>
  <si>
    <t>https://drive.google.com/open?id=1_ZJZqvuIq4FSTnwKBYPE-NrIgCAE6pix</t>
  </si>
  <si>
    <t>https://drive.google.com/open?id=1cQU1Z0KH2x__I1JUlUKc-p-BSRVa9mcN</t>
  </si>
  <si>
    <t>Fahira Ahyani</t>
  </si>
  <si>
    <t>085718995755</t>
  </si>
  <si>
    <t>Ahmad Pahmi</t>
  </si>
  <si>
    <t>085891131528</t>
  </si>
  <si>
    <t>jl kp poncol gang mandor keman rt.05/01 no 139</t>
  </si>
  <si>
    <t>mom uung portable</t>
  </si>
  <si>
    <t>_fahiraahyani</t>
  </si>
  <si>
    <t>https://drive.google.com/open?id=1YOwZ8LbPRVUnHRi0CiewEE_sfkUGMJ2Q</t>
  </si>
  <si>
    <t>https://drive.google.com/open?id=17z3NeBZm8AjGJFV8yN_bIkkeT8KsMlNS</t>
  </si>
  <si>
    <t>https://drive.google.com/open?id=1ETlcyLVCHd6tF6nD3qCvCMDBz4ymzTri</t>
  </si>
  <si>
    <t>https://drive.google.com/open?id=1la_95TcUHg0cBV7IRNxwMXKdDKxFhtMv</t>
  </si>
  <si>
    <t xml:space="preserve">Yulyani Evi Ul Enja </t>
  </si>
  <si>
    <t xml:space="preserve">Jl irigasi sipon no 237 RT4/3 Cipondoh kota Tangerang </t>
  </si>
  <si>
    <t>https://drive.google.com/open?id=14kXnvqj76Hlyb4pSoQK54QfkzCE-lXwA</t>
  </si>
  <si>
    <t>https://drive.google.com/open?id=190NxBKSDh1vFyHKHBAUVOgDQQQIsxsWa</t>
  </si>
  <si>
    <t>https://drive.google.com/open?id=1gkaqyIG-vX1eg-1qypppimziXonKFOmC</t>
  </si>
  <si>
    <t>Elisa Dewi Agustina</t>
  </si>
  <si>
    <t>085854197624</t>
  </si>
  <si>
    <t>Gusti Prasetya Ardi</t>
  </si>
  <si>
    <t>087786205300</t>
  </si>
  <si>
    <t>Kavling DKI, Jl. Sultan Mahri 2 no. 78 Cipayung Jakarta Timur</t>
  </si>
  <si>
    <t>Lisaadewii</t>
  </si>
  <si>
    <t>https://drive.google.com/open?id=1pB7ItucXQSQ-uSNsA69rKFb9gnMhBtra</t>
  </si>
  <si>
    <t>https://drive.google.com/open?id=1pRFlF11xH3fySvGG_BzzFgaAj_tVQOqv</t>
  </si>
  <si>
    <t>https://drive.google.com/open?id=1wXmgVJTuEx4fUMb3p_VmmsPQV-9iJufD</t>
  </si>
  <si>
    <t>Ismah Nanda</t>
  </si>
  <si>
    <t>085865885520</t>
  </si>
  <si>
    <t>Ponco Prasetio</t>
  </si>
  <si>
    <t>085711417439</t>
  </si>
  <si>
    <t>Jl H Aba No 29C, Panunggangan Utara, Pinang, Tangerang</t>
  </si>
  <si>
    <t>ismahnf</t>
  </si>
  <si>
    <t>https://drive.google.com/open?id=17FjGPl8gmhGh9qAjgKZxi4hnXR7cUcgT</t>
  </si>
  <si>
    <t>https://drive.google.com/open?id=1j1sae80_AM66tefQFpQ-w5R4sACXUiHJ</t>
  </si>
  <si>
    <t>https://drive.google.com/open?id=1gsBeFKiHEQITJWc1a6Zi0VmBRa0c3TZk</t>
  </si>
  <si>
    <t>https://drive.google.com/open?id=1ROTR5U1dxQd1DQDcUXEudVZ3Hwc1K9fN</t>
  </si>
  <si>
    <t>Momcozy v1pro</t>
  </si>
  <si>
    <t>https://drive.google.com/open?id=1JOLaa8QCPngHsZD00CYOPb2_NCzgLMbI</t>
  </si>
  <si>
    <t>https://drive.google.com/open?id=14hHJl3hhrrODrd--jaXECJjtdWuyYuZl</t>
  </si>
  <si>
    <t>https://drive.google.com/open?id=12vUMzHqsacjGOtgtIgp0eA66_uM6d0t4</t>
  </si>
  <si>
    <t>https://drive.google.com/open?id=1nVcPVsL6qOZyZzswJpK2DzeMTW3oeK7k</t>
  </si>
  <si>
    <t>Yani Retno Rahmat</t>
  </si>
  <si>
    <t>Suryadi Tri Dharmawan</t>
  </si>
  <si>
    <t>Cluster Leonora, Jl. Leonora Barat 6 no. 11, Gading Serpong</t>
  </si>
  <si>
    <t>momabae compact s+ dual</t>
  </si>
  <si>
    <t>yani_r2</t>
  </si>
  <si>
    <t>https://drive.google.com/open?id=1v_XmFGfbBXnnDuBLNrQ4_umbdSXcBXyz</t>
  </si>
  <si>
    <t>https://drive.google.com/open?id=1ZFftXQmtJNnyieSa_e6YishCrM_X2Kpf</t>
  </si>
  <si>
    <t>https://drive.google.com/open?id=1wDHyNHFxByQiKBvyBwa9cUBv62r8oYCS</t>
  </si>
  <si>
    <t>https://drive.google.com/open?id=15qJLNeJWfDDYUi5PlL84E9-ydQgXl1UK</t>
  </si>
  <si>
    <t>Andhita Dwi Alda</t>
  </si>
  <si>
    <t>082112903598</t>
  </si>
  <si>
    <t>Evan Rizki Nugroho</t>
  </si>
  <si>
    <t>085642877495</t>
  </si>
  <si>
    <t>Taman Banjar Wijaya Cluster Grassia B 40/15 Kota Tangerang</t>
  </si>
  <si>
    <t>Spectra Dual S</t>
  </si>
  <si>
    <t>andhitaalda</t>
  </si>
  <si>
    <t>https://drive.google.com/open?id=1tXMChxNbNvI4YdIlDjKX3Ziie1KZ332r</t>
  </si>
  <si>
    <t>https://drive.google.com/open?id=1U_nxIOIz04N7jjn02SKMNsw4dvLDDkCK</t>
  </si>
  <si>
    <t>https://drive.google.com/open?id=1Ht_IMMV6xh-590vIMnq7LgRsz7WvN0V7</t>
  </si>
  <si>
    <t>https://drive.google.com/open?id=1qRsyv3XrojJc4CkQ2m41Z_lAQgztxwrH</t>
  </si>
  <si>
    <t>Agne Leony Amanda</t>
  </si>
  <si>
    <t>089518051698</t>
  </si>
  <si>
    <t>Mochamad Erie Oktavian</t>
  </si>
  <si>
    <t>089668822550</t>
  </si>
  <si>
    <t>Jl. Raya Villa Tangerang Indah, Gg. H. Naibin Rt 004/001 No. 58 (Gang Sebelah SMPN 12 Tangerang, Toko Parfum,  Turun bawah Rumah pager putih) Periuk, Kec. Periuk, Kota Tangerang</t>
  </si>
  <si>
    <t>Momabae omni handsfree</t>
  </si>
  <si>
    <t>erieokt</t>
  </si>
  <si>
    <t>https://drive.google.com/open?id=10KQ0xWLDqsTlWxvTyHf32AL5bw4rJNVY</t>
  </si>
  <si>
    <t>https://drive.google.com/open?id=1KuLvOEHAGAJrgvABHR1e5GwtdiIvbAN_</t>
  </si>
  <si>
    <t>https://drive.google.com/open?id=1RU3R5WeIWRNIUc6hvCnn_ro9r-bGmMvh</t>
  </si>
  <si>
    <t>https://drive.google.com/open?id=1Dn4ZxYqV542wtIzvY1lcRGmi_R_zXwjz</t>
  </si>
  <si>
    <t xml:space="preserve">dila hadiputri </t>
  </si>
  <si>
    <t>08111074313</t>
  </si>
  <si>
    <t>Iqbal alfawwazi hakim</t>
  </si>
  <si>
    <t>+62 813-3356-8844</t>
  </si>
  <si>
    <t>Perum Taman Asri Blok C6 No.14, Cipadu, Larangan, Tangerang (15155)</t>
  </si>
  <si>
    <t>Kavling hamkam D2 No.8 Joglo, Kembangan, Jakarta Barat, DKI Jakarta (11640)</t>
  </si>
  <si>
    <t>Dilaputri</t>
  </si>
  <si>
    <t>https://drive.google.com/open?id=1EohC9YyxLvMfAUqZ5aOizYQjbLYZZs5N</t>
  </si>
  <si>
    <t>https://drive.google.com/open?id=1jkvAkbzknUaRbvl5Om8m-T1B1YCnMoI3</t>
  </si>
  <si>
    <t>https://drive.google.com/open?id=1eH-BVWG9D54TNvPmXVqx99E4NIanmE0i</t>
  </si>
  <si>
    <t>Perumahan Metland Cibitung, Cluster taman cikini blok f7/3. Kab. Bekasi - Jawa Barat</t>
  </si>
  <si>
    <t xml:space="preserve">PT Tiga Pilar Utama Karya Sentosa 
Jalan Jalur Sutera Timur Blok 3B no 29. </t>
  </si>
  <si>
    <t>medela swing maxi handsfree</t>
  </si>
  <si>
    <t>https://drive.google.com/open?id=1yh76s01ESxCSkTx3AbiaMD7dLEsOaJuj</t>
  </si>
  <si>
    <t>https://drive.google.com/open?id=15SWAWVR5ZbQQxyvo74jlt7AMXBZl1XAW</t>
  </si>
  <si>
    <t>https://drive.google.com/open?id=1jIMPMCg_Fo9Nj__IRjYBhZpXzK9KfALB</t>
  </si>
  <si>
    <t>https://drive.google.com/open?id=1vzs9NcKn3t1i3H3gFDLUoANvLKFspL2V</t>
  </si>
  <si>
    <t>VIA AMALIA NUR AFSAH</t>
  </si>
  <si>
    <t>082180883367</t>
  </si>
  <si>
    <t>AHMAD MASGAR BINTARA PUTRA</t>
  </si>
  <si>
    <t>+62 813-8766-0375</t>
  </si>
  <si>
    <t>Nama : Via Amalia Nur Afsah
Alamat lengkap: 
Jl Siaga Raya no G-15
Rt 06/12
Komplek Dwikora 
Kelurahan Halim PK
jakarta timur 13610
Kecamatan: Makasar
Kota/kabupaten: Jakarta Timur
Provinsi: DKI Jakarta
Kota : Jakarta Timur
Kode Pos : 13610
No Hp: 0821-8088-3367</t>
  </si>
  <si>
    <t>@afsahhv</t>
  </si>
  <si>
    <t>https://drive.google.com/open?id=1ntkCr__H6capJ34vQ0eUQtyi-C4C0cF_</t>
  </si>
  <si>
    <t>https://drive.google.com/open?id=1daTnnZI5VLDpHYeILkjyaHTfvZFqXqEy</t>
  </si>
  <si>
    <t>https://drive.google.com/open?id=1ms8dd0Hbu6EBHSnxRLaMEUaovTk4ROA_</t>
  </si>
  <si>
    <t>https://drive.google.com/open?id=1ZHS0Ir5fYumvwoUEtGO-z9JAHJhUlzzX</t>
  </si>
  <si>
    <t>Resta mardiana</t>
  </si>
  <si>
    <t>087738222238</t>
  </si>
  <si>
    <t>Muhammad fikri haikal</t>
  </si>
  <si>
    <t>+62 878-2583-6394</t>
  </si>
  <si>
    <t>Serpong Garden 2, Cluster Greenhill B6/22, Cisauk Tangerang</t>
  </si>
  <si>
    <t>HAIKAL
Serpong Garden 2 Cluster Green Hill Blok B6 No. 22, Cibadak, Cisauk, KAB. TANGERANG, CISAUK, BANTEN, ID, 15846</t>
  </si>
  <si>
    <t>resta_mardiana</t>
  </si>
  <si>
    <t>https://drive.google.com/open?id=140g2PMX1BWjWa_52rmLujvyerPu5aVmh</t>
  </si>
  <si>
    <t>https://drive.google.com/open?id=1lsTHAjfuJ6xqvN0t3PUEaEnMwALxSrBK</t>
  </si>
  <si>
    <t>https://drive.google.com/open?id=1ksR4BTW25t1GSzXpsMxWd-pjaSZTum_l</t>
  </si>
  <si>
    <t>https://drive.google.com/open?id=1Jqrb55dIpM7cy2WwfXC5DwdtO12Ux554</t>
  </si>
  <si>
    <t>Camelia widya putri</t>
  </si>
  <si>
    <t>081232051710</t>
  </si>
  <si>
    <t>Rochmad hidayad purwantoro</t>
  </si>
  <si>
    <t>+62 822-6161-9803</t>
  </si>
  <si>
    <t>Jl paus III No 19, kel Cilandak timur, Cilandak</t>
  </si>
  <si>
    <t>Komplek denjaka Jl paus III No 19, kel Cilandak timur, Cilandak 12560</t>
  </si>
  <si>
    <t>Nevia portable warmer</t>
  </si>
  <si>
    <t>Camelia_widya</t>
  </si>
  <si>
    <t>https://drive.google.com/open?id=1KbpPnJMaAEgZCTsF3zyA2BODongn5jJ7</t>
  </si>
  <si>
    <t>https://drive.google.com/open?id=1nWeFtXqPt9mHeH4R3YQtgnzFa_ndcHrd</t>
  </si>
  <si>
    <t>https://drive.google.com/open?id=1yEwb5WPAUQZDznoW6yDnh9qavV8PzwQI</t>
  </si>
  <si>
    <t>pasar lama serpong rt013/005 no.25 cilenggang, serpong</t>
  </si>
  <si>
    <t>PT Indotech Karya Mandiri, Green Lake City Rukan Crown M No.17, Tangerang</t>
  </si>
  <si>
    <t>Momabae compact s+</t>
  </si>
  <si>
    <t>rissrizki</t>
  </si>
  <si>
    <t>https://drive.google.com/open?id=1dWVprA2xC3ilZAA8HlnxCTaTb0nCFoI9</t>
  </si>
  <si>
    <t>https://drive.google.com/open?id=1RwHwEnY6A8v7Y6vimXPXVoY4Tx5goQNI</t>
  </si>
  <si>
    <t>https://drive.google.com/open?id=1Vt-IpGPJy2M3SOhzyNltoMaMnPMASPKj</t>
  </si>
  <si>
    <t>Athaya Putri Elfaiza</t>
  </si>
  <si>
    <t>081285529311</t>
  </si>
  <si>
    <t>Muhammad Helmi Rabbani</t>
  </si>
  <si>
    <t>085695963278</t>
  </si>
  <si>
    <t>J L PERDATA III BLOK B.6/5
RT / R W : 0 0 2 / 0 0 8
K e l / D e s a • SUKASARI
K e c a m a t a n : TANGERANG</t>
  </si>
  <si>
    <t>Villa Tangerang Regensi 2 Jalan Danau Ranau III Blok FB 9 No 36 RT 04 RW 09 Kec. Pasar Kemis Kab. Tangerang 15561  Pagar hitam PASAR KEMIS BALARAJA BANTEN</t>
  </si>
  <si>
    <t>Athayapel</t>
  </si>
  <si>
    <t>https://drive.google.com/open?id=1XkW2y7K0vGCrTi5-ijHEnkCuXFGi872M</t>
  </si>
  <si>
    <t>https://drive.google.com/open?id=1zemSZS1g95PNLHlxe28JBF2dZ8IDTvAL</t>
  </si>
  <si>
    <t>https://drive.google.com/open?id=1lxZ7m0N9IivXJJOTBUMzSGbQf43xsXLW</t>
  </si>
  <si>
    <t>Tjahya utami aulia</t>
  </si>
  <si>
    <t>081287164778</t>
  </si>
  <si>
    <t>Ihram maulana nasution</t>
  </si>
  <si>
    <t>081286000330</t>
  </si>
  <si>
    <t>Gading serpong tangerang</t>
  </si>
  <si>
    <t xml:space="preserve">Serenade lake, Jl. Papirus 1 B3-2 gading serpong </t>
  </si>
  <si>
    <t>@dr.aulia17</t>
  </si>
  <si>
    <t>https://drive.google.com/open?id=10DfXVX_y08oWf2ZFg3hby9P7zlQr48Vw</t>
  </si>
  <si>
    <t>https://drive.google.com/open?id=1VrIcYM9JcqEtKVzBJLt7ZgQjxsKasKVX</t>
  </si>
  <si>
    <t>https://drive.google.com/open?id=1n0C98E94-Djro-zf98piWlXiACpCtIQx</t>
  </si>
  <si>
    <t>https://drive.google.com/open?id=1iqg8S9fF2IZZMTmgFOG0a1YXBItRgVeH</t>
  </si>
  <si>
    <t>Amanda Dewi Salya</t>
  </si>
  <si>
    <t>085823854448</t>
  </si>
  <si>
    <t>Brema Alexander Sebayang</t>
  </si>
  <si>
    <t>081285213755</t>
  </si>
  <si>
    <t xml:space="preserve">Jl. Kh. Soleh Ali No 111 Tangerang </t>
  </si>
  <si>
    <t>Jl. Kh. Soleh Ali No 111 Tangerang</t>
  </si>
  <si>
    <t>Mom Uung Portable</t>
  </si>
  <si>
    <t>amandaslyaa</t>
  </si>
  <si>
    <t>https://drive.google.com/open?id=1GLTp_CsA58nak3OjgYnIhk8vd0IohzxY</t>
  </si>
  <si>
    <t>https://drive.google.com/open?id=1YIorz4UsrSBzqE7Z-JwUnWY6g38O5ExW</t>
  </si>
  <si>
    <t>https://drive.google.com/open?id=1UAMvayTcr8pcLRu8yrcPJD1-U9Orugry</t>
  </si>
  <si>
    <t>https://drive.google.com/open?id=1aYi4T4747dLFdZD16KaErautsWMbrxED</t>
  </si>
  <si>
    <t>Gitta</t>
  </si>
  <si>
    <t>Putra</t>
  </si>
  <si>
    <t>Bananas Residence, Blok B5 No 3, Jatikramat, Jatiasih, Kota Bekasi</t>
  </si>
  <si>
    <t xml:space="preserve">Momcozy V1 pro </t>
  </si>
  <si>
    <t>https://drive.google.com/open?id=1ue3Mr0En0WvOk1LOwtX7GNOZAjdUQiB1</t>
  </si>
  <si>
    <t>https://drive.google.com/open?id=1VBwiLViZnVSgtd3dshPmWHaKuyo6Oeqe</t>
  </si>
  <si>
    <t>https://drive.google.com/open?id=1buDvX7dnxUd0U3oTL0Y1m9re8Rmf9fZU</t>
  </si>
  <si>
    <t>https://drive.google.com/open?id=1BkXsAZ4w8O4jtjxCZGifNW4oGy-sb2Tu</t>
  </si>
  <si>
    <t>Rima naiya tresna</t>
  </si>
  <si>
    <t>+62 851-9421-0482</t>
  </si>
  <si>
    <t>Ayad kamaludin</t>
  </si>
  <si>
    <t>081395316125</t>
  </si>
  <si>
    <t>Soreang</t>
  </si>
  <si>
    <t>Bukit sukanagara resort 
Alona 4 no 7 
Des. Sukanagara
Kec. Soreang
Kab. Bandung</t>
  </si>
  <si>
    <t>Mom uung handsfree</t>
  </si>
  <si>
    <t>rimanaiyaa</t>
  </si>
  <si>
    <t>https://drive.google.com/open?id=1wmVbMASlgXBK6QrXLOPOd17ugeamvXMZ</t>
  </si>
  <si>
    <t>https://drive.google.com/open?id=1KXKCksHDKyAx1JSqcyteOS6Zt6C1vMDj</t>
  </si>
  <si>
    <t>https://drive.google.com/open?id=1HMpgLV9A1reibpy5cFJ3ZG4maK2I01Ah</t>
  </si>
  <si>
    <t>https://drive.google.com/open?id=10RL8n_NDucRIH8AQSsO03o-XwIqhcfTp</t>
  </si>
  <si>
    <t>Khalisah nur shadrina</t>
  </si>
  <si>
    <t>085695831592</t>
  </si>
  <si>
    <t>Khalid haidar dzar al ghifari</t>
  </si>
  <si>
    <t>085946325422</t>
  </si>
  <si>
    <t>Dasana Indah UC 5 no 9, Bojong Nangka, Kelapa Dua, Kab. TANGERANG</t>
  </si>
  <si>
    <t>Bebetons neo v2</t>
  </si>
  <si>
    <t>knshadrina</t>
  </si>
  <si>
    <t>https://drive.google.com/open?id=1C-hg-voFkZNLtklYB2dH9WD1wzF1LJ9m</t>
  </si>
  <si>
    <t>https://drive.google.com/open?id=184Zn8FMILO1KYjeWJMXY_ByKJWXCmXNo</t>
  </si>
  <si>
    <t>https://drive.google.com/open?id=1iZOF_k8h6F8DynW528964LTvunKYScNL</t>
  </si>
  <si>
    <t>https://drive.google.com/open?id=1Na182Xep-GUFUPYibhLttCyX0osDMlvA</t>
  </si>
  <si>
    <t>Magdalena janice</t>
  </si>
  <si>
    <t>081218880139</t>
  </si>
  <si>
    <t>Yulio junior</t>
  </si>
  <si>
    <t>082177445276</t>
  </si>
  <si>
    <t>Jl bisma 20 blok c 10 no 40</t>
  </si>
  <si>
    <t>Jl bisma 20 blok c 10 no 40
Tj priok
Papanggo
Jakarta utara 14340</t>
  </si>
  <si>
    <t>Medela swing maxi handsfree</t>
  </si>
  <si>
    <t>Janeciajnc</t>
  </si>
  <si>
    <t>https://drive.google.com/open?id=1U3x601wTp6QCM0z76IKDcMNvv6ttoOdD</t>
  </si>
  <si>
    <t>https://drive.google.com/open?id=1nEp3dgVeMvjzJdkZCEyTXZdfhyjH9wPT</t>
  </si>
  <si>
    <t>https://drive.google.com/open?id=1B2_TqHudbQAIJG9W5aon8XNPsZM46P6-</t>
  </si>
  <si>
    <t>Annisa Mainurraya</t>
  </si>
  <si>
    <t>085718093921</t>
  </si>
  <si>
    <t>Satria Putra Wibowo</t>
  </si>
  <si>
    <t>085647737769</t>
  </si>
  <si>
    <t>Metland Puri, Jl. Bogenvil elok 1 blok F5 No 21 cluster clematis tangerang banten 15147</t>
  </si>
  <si>
    <t>Metland puri, Jl. Bogenvil elok 1 blok F5 no 21 cluster clematis tangerang banten 15147</t>
  </si>
  <si>
    <t xml:space="preserve">Momabae omni </t>
  </si>
  <si>
    <t>Mnrypw_</t>
  </si>
  <si>
    <t>https://drive.google.com/open?id=1zH4LxC8lz03R1wQPk8Gdnq0oRI7qHlMi</t>
  </si>
  <si>
    <t>https://drive.google.com/open?id=12i-JuTTKCh-emqTC55QLvrRbEBwdeRmT</t>
  </si>
  <si>
    <t>https://drive.google.com/open?id=1KeL82v4Mznha8mlq6OEa9WYrxdyHdysd</t>
  </si>
  <si>
    <t>https://drive.google.com/open?id=14K0UCdKIJgujhAPJDsElRVZGm_Cnu1Ul</t>
  </si>
  <si>
    <t>laura eugine</t>
  </si>
  <si>
    <t>082252055402</t>
  </si>
  <si>
    <t>Ivan setio</t>
  </si>
  <si>
    <t>081818100800</t>
  </si>
  <si>
    <t>jl kav dki blok 1 no 20A meruya utara jakarta barat</t>
  </si>
  <si>
    <t>lauraeugine</t>
  </si>
  <si>
    <t>https://drive.google.com/open?id=1kag92oY-kGdVEuZO-QL2Cpk2J560Z9n9</t>
  </si>
  <si>
    <t>https://drive.google.com/open?id=1FwbIwMz34mYepWah299l_ws0TnY-ocK2</t>
  </si>
  <si>
    <t>https://drive.google.com/open?id=14y4Mk-GUSo3f07ZWhJ_kRy9o0b3ovXeK</t>
  </si>
  <si>
    <t>https://drive.google.com/open?id=1IkXQKMv2stTUg-iQEArZbAFrAFrHFAMG</t>
  </si>
  <si>
    <t>https://drive.google.com/open?id=1xbk4Jx71qhJVR_2MvUQYSsSudzAOTZgZ</t>
  </si>
  <si>
    <t>https://drive.google.com/open?id=1sUItRjnrignlphKCLIs15Yccp-lLXN1j</t>
  </si>
  <si>
    <t>https://drive.google.com/open?id=16GoHdc4Uqeizbt0yL9gSAv0kmsUofbuC</t>
  </si>
  <si>
    <t>https://drive.google.com/open?id=13pnwsc7pjUaYdYAfCfjeX19lbxrm2oJy</t>
  </si>
  <si>
    <t>elsya adelia</t>
  </si>
  <si>
    <t>085810603166</t>
  </si>
  <si>
    <t>dandy permana</t>
  </si>
  <si>
    <t>08567306118</t>
  </si>
  <si>
    <t>cluster graha praban 1, no. 16, serua, ciputat, tangsel</t>
  </si>
  <si>
    <t>adeliaels</t>
  </si>
  <si>
    <t>https://drive.google.com/open?id=1v45lqT4e7RnViyHNBGZA8iOhE-Cucy4c</t>
  </si>
  <si>
    <t>https://drive.google.com/open?id=1Q78GACmUMyH3doJIWI5utLS_ye_1HLS8</t>
  </si>
  <si>
    <t>https://drive.google.com/open?id=19GDwnpIXnBuJx4pEaJZXnbaJbiu_aTUd</t>
  </si>
  <si>
    <t>https://drive.google.com/open?id=19up-FcNFGwKnKK1by1qeg90wTQy0RD49</t>
  </si>
  <si>
    <t>Candola</t>
  </si>
  <si>
    <t>087838201383</t>
  </si>
  <si>
    <t>Andre</t>
  </si>
  <si>
    <t>081646946900</t>
  </si>
  <si>
    <t>Green Lake City Cluster Amerika Latin 8 No 86</t>
  </si>
  <si>
    <t>Spectra s1+</t>
  </si>
  <si>
    <t>candolaliu</t>
  </si>
  <si>
    <t>https://drive.google.com/open?id=1OvAVAOJDk-nIxMebA4eSPs2aLoX8fxdW</t>
  </si>
  <si>
    <t>https://drive.google.com/open?id=1N6jDL9VR6vgkH5j1QCitXi-Oco_aa2-R</t>
  </si>
  <si>
    <t>https://drive.google.com/open?id=1Y7ZFT6M5NxnfywNBhRpmnzrlvrWCazKX</t>
  </si>
  <si>
    <t xml:space="preserve">Sania Fatmawardani </t>
  </si>
  <si>
    <t>085258516338</t>
  </si>
  <si>
    <t>Achmad Salman Al Farizi</t>
  </si>
  <si>
    <t>+62 859-3362-1969</t>
  </si>
  <si>
    <t>Bangkalan</t>
  </si>
  <si>
    <t>JL. pasar polowijo Ds. Sukolilo Timur, Teras BRI Labang Bangkalan</t>
  </si>
  <si>
    <t>medela swing maxi</t>
  </si>
  <si>
    <t>saniafmd_</t>
  </si>
  <si>
    <t>https://drive.google.com/open?id=1uiGRAGIe_3yqGMmgOTAaNo6cuFHyLB3I</t>
  </si>
  <si>
    <t>https://drive.google.com/open?id=1ZaycQ4xb-HmGVT0D5IJwBOE2njpfnRGO</t>
  </si>
  <si>
    <t>https://drive.google.com/open?id=1UFG3Ch3IDp_Dfnzi9CegLaw6u0c8T1Vf</t>
  </si>
  <si>
    <t>https://drive.google.com/open?id=1wi9Ct6S-1cLTL7B8QTr2_-SkbL-uPJJe</t>
  </si>
  <si>
    <t>Laily Fitri</t>
  </si>
  <si>
    <t>082125355020</t>
  </si>
  <si>
    <t>Dadang Sutisna</t>
  </si>
  <si>
    <t>0895383099769</t>
  </si>
  <si>
    <t>Perumahan mustika grande blok H7 no 22. Setu burangkeng. Kab Bekasi</t>
  </si>
  <si>
    <t>Lailyfitri</t>
  </si>
  <si>
    <t>https://drive.google.com/open?id=1ZvUaZykMzSyMfhod0RMWNqRdqMlfmlgZ</t>
  </si>
  <si>
    <t>https://drive.google.com/open?id=1h8HQ5W6jfbVXqFdLzPI6OMBlwL77dvVA</t>
  </si>
  <si>
    <t>https://drive.google.com/open?id=17xl6F-GfdAva_VmWi7wF8sBnSjQ5tMSc</t>
  </si>
  <si>
    <t>https://drive.google.com/open?id=1GedswgSCBezA8NvfTqy_R_xHXr6mtFY5</t>
  </si>
  <si>
    <t xml:space="preserve">Nabila Tsabitha </t>
  </si>
  <si>
    <t>082216921416</t>
  </si>
  <si>
    <t>Taufik Adytia Nugraha</t>
  </si>
  <si>
    <t>081111122297</t>
  </si>
  <si>
    <t>Jl. Komplek  Cigadung Makmur No.5 Bandung</t>
  </si>
  <si>
    <t>Jl. Raya Inpres No.81 Tengah, Kramat Jati, Jakarta Timur (Rumah Vaksinasi Pusat)</t>
  </si>
  <si>
    <t>momabae compact s+</t>
  </si>
  <si>
    <t>nabilatsa_</t>
  </si>
  <si>
    <t>https://drive.google.com/open?id=1VGvGxZbkxHx3_96kAM2jlocCUSda7zAU</t>
  </si>
  <si>
    <t>https://drive.google.com/open?id=1KLZ2tzcQ3FeXtYt_oKdaBv6Li__x3B-Z</t>
  </si>
  <si>
    <t>https://drive.google.com/open?id=1j_uKAgJeEiHddXK8Tlp2TB-n1xhYIKgU</t>
  </si>
  <si>
    <t>+62 859-4632-5422</t>
  </si>
  <si>
    <t>Tangerang, dasana indah</t>
  </si>
  <si>
    <t>Dasana Indah blok UC 5 no 9</t>
  </si>
  <si>
    <t>Khalisah Nur Shadrina</t>
  </si>
  <si>
    <t>https://drive.google.com/open?id=1AkIhAMbMuBhub88xSVaEcMTK-Gn_pFXm</t>
  </si>
  <si>
    <t>https://drive.google.com/open?id=1uL_B6Lk7mjRf00_sZjPdvoaj4XFxjTYJ</t>
  </si>
  <si>
    <t>https://drive.google.com/open?id=1g0kztD9lgejanb3gMa48891h_m_8MKRo</t>
  </si>
  <si>
    <t>https://drive.google.com/open?id=1woA9N6sLE-3mxxkSVjCWqTd7tQOjCwz0</t>
  </si>
  <si>
    <t>hadijah rahadianti</t>
  </si>
  <si>
    <t>089630888860</t>
  </si>
  <si>
    <t>Muhammad rifqi</t>
  </si>
  <si>
    <t>+62 813-8511-3132</t>
  </si>
  <si>
    <t>jl.batusari no.80 rt 11/02 Batu Ampar Kramat Jati 13520 jakarta timur</t>
  </si>
  <si>
    <t>momcozy v1 pro</t>
  </si>
  <si>
    <t>vinnaalatas</t>
  </si>
  <si>
    <t>https://drive.google.com/open?id=1R5uvhOw-x_HLohd77NXsOIlUiaivYZpv</t>
  </si>
  <si>
    <t>https://drive.google.com/open?id=1iHEWg0HyjrY_kUnIdQKpWrw8QfGtCAdx</t>
  </si>
  <si>
    <t>https://drive.google.com/open?id=1M-ibSJ3riNdh9ADJnp94ZY_fY-XQK46M</t>
  </si>
  <si>
    <t>https://drive.google.com/open?id=1PnIPm1Rn8LvX69z120EzhKaHhd1hGqrV</t>
  </si>
  <si>
    <t>Budi Wiharjana</t>
  </si>
  <si>
    <t xml:space="preserve">Nama : Tamara Lala
No. HP : 081219994669
Alamat :
Mayora Group Headquarters (Global Marketing Lt. 5)
Jl. Daan Mogot KM 18, Cengkareng, Jakarta Barat 11840 </t>
  </si>
  <si>
    <t>Spectra H1 lite</t>
  </si>
  <si>
    <t>@lalaclaudia</t>
  </si>
  <si>
    <t>https://drive.google.com/open?id=1xGhQMktxHzK6agmxlaqd_aUU53V6Z-0l</t>
  </si>
  <si>
    <t>https://drive.google.com/open?id=1jIhg1uqM_HV8-FTqhHqSV3SJ_vkKmhQg</t>
  </si>
  <si>
    <t>https://drive.google.com/open?id=1rRT0ZJwU8oZoiF1_8IEfhYflFyI99pKI</t>
  </si>
  <si>
    <t>https://drive.google.com/open?id=1IZIoWkEoniI7-BvHhX5oYpyiAAIZknHy</t>
  </si>
  <si>
    <t>Mety Anisa</t>
  </si>
  <si>
    <t>082260283839</t>
  </si>
  <si>
    <t>Haris Fadillah</t>
  </si>
  <si>
    <t>081213504895</t>
  </si>
  <si>
    <t>Jl. Pengadegan Barat V No. 17C RT 010/ RW 007. Pancoran Jakarta Selatan 12770</t>
  </si>
  <si>
    <t>Buni Residence No. 78 RT 002/RW 004 Kel. Munjul Kec. Cipayung 13850</t>
  </si>
  <si>
    <t>metyanisa</t>
  </si>
  <si>
    <t>https://drive.google.com/open?id=1tGdu5Lld2TeRSOUQ7Cf7_IoCjCMb5tUD</t>
  </si>
  <si>
    <t>https://drive.google.com/open?id=1Ez4vML9NzXbJSnipmduwPb-ZyyVSgiji</t>
  </si>
  <si>
    <t>https://drive.google.com/open?id=11BzMBT4wFJmvghDIun2z0ImsNcXIhJLX</t>
  </si>
  <si>
    <t>https://drive.google.com/open?id=1iM7eeYDpCYAzo86J7Ar4Rn6gV_WqED_Z</t>
  </si>
  <si>
    <t>syifa hanifah</t>
  </si>
  <si>
    <t>085156050499</t>
  </si>
  <si>
    <t>naufal aditya</t>
  </si>
  <si>
    <t>+62 821-1157-5754</t>
  </si>
  <si>
    <t>villa tomang baru block j.2 no.7a kel.gelam jaya kec.pasar kemis</t>
  </si>
  <si>
    <t>syiffahanifah</t>
  </si>
  <si>
    <t>https://drive.google.com/open?id=1zKK825AVBmCJ7MmeU4Qt49GY4RRiDGNn</t>
  </si>
  <si>
    <t>https://drive.google.com/open?id=1XHCl_rKI65DfkmPriu_cIXN9OrDJmUh2</t>
  </si>
  <si>
    <t>https://drive.google.com/open?id=1qp3-sTZWVShtHTINNX0AQXydjDFOKpaA</t>
  </si>
  <si>
    <t>https://drive.google.com/open?id=1VP7mDiweYD0wzE7MwktlsUh7wk_JEFF-</t>
  </si>
  <si>
    <t>Dila hadiputri</t>
  </si>
  <si>
    <t>+62-813-3356-8844</t>
  </si>
  <si>
    <t>Kavling hamkan d2 no.8, joglo, kembangan, jakarta barat</t>
  </si>
  <si>
    <t>Spectra dual S</t>
  </si>
  <si>
    <t>https://drive.google.com/open?id=1v6_wTSMIH0pshXOl2N006iN8FvudDM99</t>
  </si>
  <si>
    <t>https://drive.google.com/open?id=15yySVFnpItiNHoE9qGDgtmnGDUt_repQ</t>
  </si>
  <si>
    <t>https://drive.google.com/open?id=16ZaYS9EQa954j2duv3zeGJS-ZxmEBdCx</t>
  </si>
  <si>
    <t>+6285194210482</t>
  </si>
  <si>
    <t xml:space="preserve">Bukit sukanagara resort alona 4 no 7 </t>
  </si>
  <si>
    <t>Bukit sukanagara resort alona 4 no 7 
Des. Sukanagara
Kec. Soreang 
Kab. Bandung 
40911</t>
  </si>
  <si>
    <t>Rimanaiyaa</t>
  </si>
  <si>
    <t>https://drive.google.com/open?id=1nJ8Io4vWdyLTu2XOd0EkTULgQ68EWOsV</t>
  </si>
  <si>
    <t>https://drive.google.com/open?id=1BweGeubcJ_EuvbV2MKcn69b5nMj2WqbR</t>
  </si>
  <si>
    <t>https://drive.google.com/open?id=1YQNLFUNT4gBYuYFhKaTIgENJ4BYiV_NB</t>
  </si>
  <si>
    <t>https://drive.google.com/open?id=1aX0AV7fMKQIVt-owQ-Q_Nl3CZtznqNG5</t>
  </si>
  <si>
    <t xml:space="preserve">Diajeng Ramadawati </t>
  </si>
  <si>
    <t>Jalan damai raya no 44b kel petukangan selatan kec pesanggrahan jakarta selatan</t>
  </si>
  <si>
    <t>https://drive.google.com/open?id=1vH3SLNWjvHnQ_6kUo7ZJCQseEXuFcGdz</t>
  </si>
  <si>
    <t>https://drive.google.com/open?id=1hFeidNzpmjTaPVbV58gWQ9VsrgDyHY0u</t>
  </si>
  <si>
    <t>https://drive.google.com/open?id=1oaNNPjE32wBR7Ivh3kJepjjhC5m-Gsxb</t>
  </si>
  <si>
    <t>https://drive.google.com/open?id=1ksiAS5Tz6--4x_tnWprHM1eDh_JYrnaH</t>
  </si>
  <si>
    <t xml:space="preserve">Karawang Jawa Barat </t>
  </si>
  <si>
    <t>Terminal 2 Bandara Soekarno Hatta</t>
  </si>
  <si>
    <t xml:space="preserve">Momuung Handsfree </t>
  </si>
  <si>
    <t>https://drive.google.com/open?id=16oh92_mrIq4a0CucKTcDfpqYc1WsTXxW</t>
  </si>
  <si>
    <t>https://drive.google.com/open?id=14V5gGxZAT7H31G5XaCfGIZNBH9igy2rv</t>
  </si>
  <si>
    <t>https://drive.google.com/open?id=1QWBNQDc8qybrXNigf6P-nvJZDIZhPnI1</t>
  </si>
  <si>
    <t>https://drive.google.com/open?id=1Qmo9InRt-N25IDALhl99N0Asjj7-6eoy</t>
  </si>
  <si>
    <t>Annisa mainurraya</t>
  </si>
  <si>
    <t xml:space="preserve">Satria putra wibowo </t>
  </si>
  <si>
    <t xml:space="preserve">Jl Bogenvil elok 1 blok f5 no 21 metland puri cluster clematis </t>
  </si>
  <si>
    <t>https://drive.google.com/open?id=1UaMbicluQ8hX-INQ-4IyGUOv0Zvn-SQP</t>
  </si>
  <si>
    <t>https://drive.google.com/open?id=1PO1BLJeqKY2qUrTyggtsvE_ZvAIuy4bd</t>
  </si>
  <si>
    <t>https://drive.google.com/open?id=1FYEkA_7oMLXefEgToJGUdu_2cEQiYaWI</t>
  </si>
  <si>
    <t>https://drive.google.com/open?id=1vD0e6w0T4CWa46o7ZGCfxBy9ic9EhdGN</t>
  </si>
  <si>
    <t>ika nurul fitriyana</t>
  </si>
  <si>
    <t>081212862071</t>
  </si>
  <si>
    <t>andes dwi saputra</t>
  </si>
  <si>
    <t>082299839986</t>
  </si>
  <si>
    <t>Perumahan Taman Kota Permai 4 Blok B 20, Karet, sepatan, Tangerang</t>
  </si>
  <si>
    <t>ikafitrian_</t>
  </si>
  <si>
    <t>https://drive.google.com/open?id=1SEm5q1SArYuLxrDgd6n1JS-4Hyo7_Jhq</t>
  </si>
  <si>
    <t>https://drive.google.com/open?id=1la2_U8LxFRERUBOXJXRgxrLa-BylNICZ</t>
  </si>
  <si>
    <t>https://drive.google.com/open?id=14BjuRhWkY5B6kvyLjQBu5gDInP9iSpIe</t>
  </si>
  <si>
    <t>https://drive.google.com/open?id=1RjU2UWzkEVgOltbZcxO-js7b45beK557</t>
  </si>
  <si>
    <t>muhammad rifqi</t>
  </si>
  <si>
    <t>jl batusari no.80 rt 011/02 batu ampar kramat jati</t>
  </si>
  <si>
    <t>vinna.alatas@gmail.com</t>
  </si>
  <si>
    <t>https://drive.google.com/open?id=1fRqfQNNsESnGhTv7u2O6Qgp6q1m6DpUt</t>
  </si>
  <si>
    <t>https://drive.google.com/open?id=1IhL36iiMQSrp57oc4phlmOWvk8ZfsDwu</t>
  </si>
  <si>
    <t>https://drive.google.com/open?id=17xtcORiw7vEgYh5xUNCLchc6fS2nLSZW</t>
  </si>
  <si>
    <t>https://drive.google.com/open?id=1k1AEXumQBysdNivnf49e0KpOfnWBx3Y8</t>
  </si>
  <si>
    <t>Eka Nurhayani Agus</t>
  </si>
  <si>
    <t>081311639538</t>
  </si>
  <si>
    <t>Ian Danarko</t>
  </si>
  <si>
    <t>082114300597</t>
  </si>
  <si>
    <t>Citra Garden 1 Extension Blok AE9 no 14, Kecamatan Kalideres, Jakarta Barat 11840</t>
  </si>
  <si>
    <t>Citra Garden 1 Extension Blok AD4 no 26, Kecamatan Kalideres, Jakarta Barat 11840</t>
  </si>
  <si>
    <t>natalia.eka</t>
  </si>
  <si>
    <t>https://drive.google.com/open?id=1cfg77ZsZh7aQIXrSL2ngii8EpIblyEIK</t>
  </si>
  <si>
    <t>https://drive.google.com/open?id=1SbOuHBl1f-vZFeNFpOagTgsveOGHWgIp</t>
  </si>
  <si>
    <t>https://drive.google.com/open?id=1-71MOMmLL9LOjmoSKY3V_ScIYC7w0O4E</t>
  </si>
  <si>
    <t>https://drive.google.com/open?id=1wLDefUDfINidk2JLXR0YhqwYNqGuekNB</t>
  </si>
  <si>
    <t>Opia diamond</t>
  </si>
  <si>
    <t>https://drive.google.com/open?id=1K0sXm1gmxUaxTX1XB_I1EjpcAvvq47q0</t>
  </si>
  <si>
    <t>https://drive.google.com/open?id=1SNsPqOnRgEasjiHuIAl6yJhgiCwi3E97</t>
  </si>
  <si>
    <t>https://drive.google.com/open?id=19zBVhR5p9-pTgr1wnilC8sH8ywyZ5zE8</t>
  </si>
  <si>
    <t>Nadiyah Robbaniyah</t>
  </si>
  <si>
    <t>081380161025</t>
  </si>
  <si>
    <t>Aditya Abdin</t>
  </si>
  <si>
    <t>085266626185</t>
  </si>
  <si>
    <t>Gg Patriot diantara Lorong 2 dan 3 (Rumah putih, samping bidan elfi), Kalianda, Lampung Selatan, 35551</t>
  </si>
  <si>
    <t>Momcozy v1 pro</t>
  </si>
  <si>
    <t>nadiyaahr</t>
  </si>
  <si>
    <t>https://drive.google.com/open?id=1r60uBdmRuVMqhXH3K_Xw90Q9SKG7ZFvQ</t>
  </si>
  <si>
    <t>https://drive.google.com/open?id=1JmRrCzIXulU0i0lgULUxKGuYcGoKRNJr</t>
  </si>
  <si>
    <t>https://drive.google.com/open?id=1DUDrPtXNXGU2aCdWnjNDnEVn2SVPjCWC</t>
  </si>
  <si>
    <t>https://drive.google.com/open?id=1O9GYjURmjT0GCRaKS_xPCBj0kiGjWChh</t>
  </si>
  <si>
    <t>Bella Dinna Safitri</t>
  </si>
  <si>
    <t>087701101227</t>
  </si>
  <si>
    <t>Hilmi El Hafidz Fatahillah</t>
  </si>
  <si>
    <t>087745567176</t>
  </si>
  <si>
    <t>Graha Jeumpa 2 Residences nomor 7, Setu, Tangerang Selatan</t>
  </si>
  <si>
    <t>Medela Swing Maxi 2.0</t>
  </si>
  <si>
    <t>@bellasafitri</t>
  </si>
  <si>
    <t>https://drive.google.com/open?id=137sGeTd1I63ZRN4moLObNoXHP94uEVu6</t>
  </si>
  <si>
    <t>https://drive.google.com/open?id=1Taf7hGzhxFHS7GqD0l53qhtwZ5hkYGvD</t>
  </si>
  <si>
    <t>https://drive.google.com/open?id=1XXI_d8pFgNlg5kNTCZN8kSWkZc1SB2kg</t>
  </si>
  <si>
    <t>https://drive.google.com/open?id=1TuwoQOuiGvTzK7yx1HRltPL1QaOQABVT</t>
  </si>
  <si>
    <t>Gigih prasetyo</t>
  </si>
  <si>
    <t>Jl. Damai raya no 44b pesanggarahan jaksel</t>
  </si>
  <si>
    <t>https://drive.google.com/open?id=1XBmCfw39KFPqtgrfVKqrr1MCvSR6Y2Bz</t>
  </si>
  <si>
    <t>https://drive.google.com/open?id=1o9r9uwADSEqw0E1HNySXeOsK-dpOjHiZ</t>
  </si>
  <si>
    <t>https://drive.google.com/open?id=1NaMdeZSrztETHBrIYw4tjq8N7XnsaxaH</t>
  </si>
  <si>
    <t>https://drive.google.com/open?id=1fy9R6S8fUBQbD9OPOc9FHimUgJJFrpMV</t>
  </si>
  <si>
    <t>https://drive.google.com/open?id=1MRAg2GdPreukNvrSA_cmvFhiVFif1Gpd</t>
  </si>
  <si>
    <t>https://drive.google.com/open?id=1ADU0R3MaI31XuqTEogX-9y2KseWBjmbw</t>
  </si>
  <si>
    <t>https://drive.google.com/open?id=12DTPeKupg-qTNnz78GKLVDt-rO_EOMio</t>
  </si>
  <si>
    <t>rizki widya herawati</t>
  </si>
  <si>
    <t>raihan mahendra duta</t>
  </si>
  <si>
    <t>pasar lama serpong rt013/005 no.25, cilenggang, serpong, tangerang selatan</t>
  </si>
  <si>
    <t>PT Indotech Karya Mandiri, Green Lake City Rukan Crown blok M No.17, Cipondoh Tangerang</t>
  </si>
  <si>
    <t>https://drive.google.com/open?id=1_o8eEvxKF59eFznJZul-ojOUjqq4SGyw</t>
  </si>
  <si>
    <t>https://drive.google.com/open?id=1qbVILo8D75R6HyHIiP-euI-5bCRoqOXC</t>
  </si>
  <si>
    <t>https://drive.google.com/open?id=1K02GTNTe9m0uF0AgycB5w1aPQPRXvkHj</t>
  </si>
  <si>
    <t>Desi Anggraini Sinaga</t>
  </si>
  <si>
    <t>082125667369</t>
  </si>
  <si>
    <t>Yongki Yonatan Marbun</t>
  </si>
  <si>
    <t>081230723079</t>
  </si>
  <si>
    <t>Park Serpong CPE 1 No. 96 Park Serpong</t>
  </si>
  <si>
    <t>eciangsng</t>
  </si>
  <si>
    <t>https://drive.google.com/open?id=13ksIym8FHuX5BEsJZBYun1fcKB7sOC-I</t>
  </si>
  <si>
    <t>https://drive.google.com/open?id=1m-TIOILX1E9-3H0GS2Jm9OBN_3CCxZzC</t>
  </si>
  <si>
    <t>https://drive.google.com/open?id=15I-doUui8-ekd_z3QucTN5fl777lWGyq</t>
  </si>
  <si>
    <t>https://drive.google.com/open?id=1MURAdCgn4WK_sD5Zy0nJJ6VuLgc6f9Qe</t>
  </si>
  <si>
    <t xml:space="preserve">Inggita Zahro Zukhrufi Romadhona </t>
  </si>
  <si>
    <t>081277800798</t>
  </si>
  <si>
    <t>Muhammad Iqbal Alfirdaus</t>
  </si>
  <si>
    <t>081260447125</t>
  </si>
  <si>
    <t xml:space="preserve">Jl. Sabang Gg. H. Afan RT 05 RW 03 Cipete, Pinang, Kota Tangerang, Banten(Belakang Material Abel, Rumah Warna Biru)
</t>
  </si>
  <si>
    <t>inggitazahro</t>
  </si>
  <si>
    <t>https://drive.google.com/open?id=1ADZ4UNO4hXMOBRpNhFNBgwN5LJWCOOMX</t>
  </si>
  <si>
    <t>https://drive.google.com/open?id=1lzW61C4fxz_L_tC0Bqnc21ATa0vn1Hmm</t>
  </si>
  <si>
    <t>https://drive.google.com/open?id=1-fjcWW0carnu0dzIzNSrT45ykWTPRZI1</t>
  </si>
  <si>
    <t>https://drive.google.com/open?id=1Q0tnqwGcZzLNrdr_-nhZ7rg0dD5rHlYw</t>
  </si>
  <si>
    <t>Jl. Komplek Cigadung Makmur No.5 Bandung</t>
  </si>
  <si>
    <t>Jl. Raya Inpres No. 81 Tengah, Kramat Jati, Jakarta Timur</t>
  </si>
  <si>
    <t>https://drive.google.com/open?id=1hh--171Kc5V_2P39-eWMK1Hlfthzz7jn</t>
  </si>
  <si>
    <t>https://drive.google.com/open?id=18HD2pzmXf-u_qnChw4dpWoGawT6rm-25</t>
  </si>
  <si>
    <t>https://drive.google.com/open?id=1YYr1P3pfpR3EQs0lXgetPKOfu9vCF0HR</t>
  </si>
  <si>
    <t xml:space="preserve">Shetira marsela </t>
  </si>
  <si>
    <t>082240837784</t>
  </si>
  <si>
    <t>Rojul Gayuh Leksono</t>
  </si>
  <si>
    <t>+62 812-2511-1992</t>
  </si>
  <si>
    <t>Perum puri asri pratama 1F Gentan Baki Sukoharjo</t>
  </si>
  <si>
    <t>Medela swing max</t>
  </si>
  <si>
    <t>Marselasaldabila</t>
  </si>
  <si>
    <t>https://drive.google.com/open?id=1t8ttlChOE5S7BmsDGo1WQ680sCDHVDp_</t>
  </si>
  <si>
    <t>https://drive.google.com/open?id=1FmkiUGUWIvE9sxpm_DlSB7NPzvpxk_1V</t>
  </si>
  <si>
    <t>https://drive.google.com/open?id=1tjMnOg3IKyJvqjb2dtnTaZyY0IbkeljU</t>
  </si>
  <si>
    <t>https://drive.google.com/open?id=1Dj7lHrYFyhj4pYgD6D8dSXFJSBT2jqGN</t>
  </si>
  <si>
    <t>Mutiara Riani Aprilia</t>
  </si>
  <si>
    <t>081319243385</t>
  </si>
  <si>
    <t>Fikri Anasky Pangestu</t>
  </si>
  <si>
    <t>081291277664</t>
  </si>
  <si>
    <t>Perumahan Pondok Safari Indah, Jalan Kenari V Blok BK No 13, Jurang Mangu Barat, Pondok Aren, Tangerang Selatan</t>
  </si>
  <si>
    <t>Mutiaraprili</t>
  </si>
  <si>
    <t>https://drive.google.com/open?id=1JLk7RYFfkG2zInBF7Lzg04xkbEXVKuW4</t>
  </si>
  <si>
    <t>https://drive.google.com/open?id=1J0Ouvw0hqv8bdT-sScYGus0WF991SBau</t>
  </si>
  <si>
    <t>https://drive.google.com/open?id=1mWjjDTEk0jJY6V2Zx6Hg1oOpglVNp3Vz</t>
  </si>
  <si>
    <t>https://drive.google.com/open?id=1jWkjqOImtLqf_GUoY9R3DrhmRMNGIdnY</t>
  </si>
  <si>
    <t>DHEA AJENG PUTRI ISLAMY</t>
  </si>
  <si>
    <t>089684853222</t>
  </si>
  <si>
    <t>DEA RIZKI PRATAMA</t>
  </si>
  <si>
    <t>+62 815-1023-5516</t>
  </si>
  <si>
    <t>Poris Gaga Baru RT 001 RW 002 no.71, kec. Batuceper  kota tangerang</t>
  </si>
  <si>
    <t>Pompa asi momabae omni</t>
  </si>
  <si>
    <t>Dheaajengp</t>
  </si>
  <si>
    <t>https://drive.google.com/open?id=13NzMSuB0bXiqpImiq45C_jtHamGGzKnF</t>
  </si>
  <si>
    <t>https://drive.google.com/open?id=1b8vPHP0vwEiGohYaC44KYKZ6YTlBfogE</t>
  </si>
  <si>
    <t>https://drive.google.com/open?id=1pma0AionGOevI_seZcEuNT9D7j8qh89X</t>
  </si>
  <si>
    <t>https://drive.google.com/open?id=1sX8ltD1aRO-v0eNHKRQmlTO09nMrhjnO</t>
  </si>
  <si>
    <t>Cindyta meidiana</t>
  </si>
  <si>
    <t>087780948118</t>
  </si>
  <si>
    <t>Mohammad hafidz vidhyansyah</t>
  </si>
  <si>
    <t>081281681024</t>
  </si>
  <si>
    <t>Jl.Komplek dpr ri pribadi blok K no.28 jakarta barat</t>
  </si>
  <si>
    <t>Jl.Komplek DPR RI Pribadi blok K no.28 kel.joglo kec.kembangan jakarta barat</t>
  </si>
  <si>
    <t>Momuung handsfree</t>
  </si>
  <si>
    <t>@cindytameidiana</t>
  </si>
  <si>
    <t>https://drive.google.com/open?id=1Yq8b4jN_xo0CbIpw88J6x2x50Dye9oFa</t>
  </si>
  <si>
    <t>https://drive.google.com/open?id=1jz7CerSbdXvZWHwaXQyO1r9IgW2u2-J8</t>
  </si>
  <si>
    <t>https://drive.google.com/open?id=1mV9EN8q7TNZyuM0YS4JCOvHCKyji2aid</t>
  </si>
  <si>
    <t>https://drive.google.com/open?id=1Hr7jlW3zAb4eIImq8YLX2P0y9QLiSL2A</t>
  </si>
  <si>
    <t>Marsha Kurnia Chyntia Maharani</t>
  </si>
  <si>
    <t>081379880865</t>
  </si>
  <si>
    <t>Andivanto Oktavianus</t>
  </si>
  <si>
    <t>081344445277</t>
  </si>
  <si>
    <t>Green Royal GR 7 no 18A</t>
  </si>
  <si>
    <t>Green Royal Condohouse GR 7 no 18A</t>
  </si>
  <si>
    <t>Momabae omni 2 unit</t>
  </si>
  <si>
    <t>macharanii</t>
  </si>
  <si>
    <t>https://drive.google.com/open?id=18jk48ZQ_C2_geYaxUEOdsPUqdBCVfKNv</t>
  </si>
  <si>
    <t>https://drive.google.com/open?id=10H5jfG5BVQkhdFy9f_7bKAKk83wjeQsr</t>
  </si>
  <si>
    <t>https://drive.google.com/open?id=1GvE6BOeMxbBB36ZM_bji7bdz3cvv3D5y</t>
  </si>
  <si>
    <t>https://drive.google.com/open?id=1F9O_SnmZ17drgINZSXEvgbyNGwzeWCM5</t>
  </si>
  <si>
    <t>Irna Dwi Destiana</t>
  </si>
  <si>
    <t>085797117476</t>
  </si>
  <si>
    <t>Aldy Wiryadi Garna</t>
  </si>
  <si>
    <t>+62 856-2066-867</t>
  </si>
  <si>
    <t>Perumahan Pesona Permata Hijau 2 Blok B No. 164</t>
  </si>
  <si>
    <t>Kp. Cilenjang no. 62 RT/RW 02/02 ((depan mesjid al ikhlas rumah warna hijau tingkat 2) )
CILAKU, KAB. CIANJUR, JAWA BARAT, ID, 43285</t>
  </si>
  <si>
    <t>SEWA Nevia Portable Warmer</t>
  </si>
  <si>
    <t>id_dest</t>
  </si>
  <si>
    <t>https://drive.google.com/open?id=1KlhsHSCvyEY2qnFzb-p-mEtXyAxU-RoB</t>
  </si>
  <si>
    <t>https://drive.google.com/open?id=1ms1fg3VijXK7bb6nl9LJUVax3nsRpoWL</t>
  </si>
  <si>
    <t>https://drive.google.com/open?id=1sl3KmZgDD76VLUJKmR3insZ0dd5vaJYD</t>
  </si>
  <si>
    <t>https://drive.google.com/open?id=1QAmjIsrh-J3tVltvCuInizpg8OMB7b5G</t>
  </si>
  <si>
    <t>Clara Tirta Wijaya</t>
  </si>
  <si>
    <t>081809588599</t>
  </si>
  <si>
    <t>Kevin</t>
  </si>
  <si>
    <t>087888037942</t>
  </si>
  <si>
    <t>Cluster Pasadena Grand Residences 15/1, Gading Serpong</t>
  </si>
  <si>
    <t>Momabae Compact S+</t>
  </si>
  <si>
    <t>claratirtawijaya</t>
  </si>
  <si>
    <t>https://drive.google.com/open?id=1YO4Cr-zXWXITsIP7SRqlp-7fBJf683gQ</t>
  </si>
  <si>
    <t>https://drive.google.com/open?id=16UKqTIqO0PtbNtDaCC0LnNPiV4S1kgf3</t>
  </si>
  <si>
    <t>https://drive.google.com/open?id=1pEfMLrNTMSeKzIxYP5PAshQat5FTOHZs</t>
  </si>
  <si>
    <t>https://drive.google.com/open?id=1K1VyfswbVN9-ovJMvfI2X0pGimRxft4k</t>
  </si>
  <si>
    <t>Syabilla Rismaini</t>
  </si>
  <si>
    <t>08999702208</t>
  </si>
  <si>
    <t>Valensyah Aprilio Wiranata</t>
  </si>
  <si>
    <t>085782576936</t>
  </si>
  <si>
    <t>Tangerang</t>
  </si>
  <si>
    <t>Villa tangerang regency 2 blok fh 7 no 19 rt 04 rw 11 kecamatan pasar kemis kabupaten tangerang</t>
  </si>
  <si>
    <t>Syabilaars</t>
  </si>
  <si>
    <t>https://drive.google.com/open?id=1ETpy0mILKS66j-UuoPO0fASi8FM5k4QL</t>
  </si>
  <si>
    <t>https://drive.google.com/open?id=13bLsPSFHD6Vb74QYY6IeJMFQju1TdTRn</t>
  </si>
  <si>
    <t>https://drive.google.com/open?id=1Rvay78Ij2iPzJZfFhjik5XEICSsP0SSN</t>
  </si>
  <si>
    <t>https://drive.google.com/open?id=1K2MHoHsvKbb-I3pWGtOsqWq1TlWPFVWN</t>
  </si>
  <si>
    <t>Mutiara Mu'minatul Istiqomah</t>
  </si>
  <si>
    <t>082331447045</t>
  </si>
  <si>
    <t>Nanda Aldira Fakhri</t>
  </si>
  <si>
    <t>081225216665</t>
  </si>
  <si>
    <t xml:space="preserve">Matraman Jakarta Timur </t>
  </si>
  <si>
    <t>Jl. Mangga Raya No.209 RT 03 RW 05 Utan Kayu Utara, Matraman, Jakarta Timur LOKAMAR 209</t>
  </si>
  <si>
    <t>derirooo</t>
  </si>
  <si>
    <t>https://drive.google.com/open?id=1GL-mKIbUdcUvOi_q4WMq9uT38FPzNPiu</t>
  </si>
  <si>
    <t>https://drive.google.com/open?id=13X7uA0d3d0tvQSDsG62B33Qsj1JaXTbB</t>
  </si>
  <si>
    <t>https://drive.google.com/open?id=1mI7eW7KtPYxNf1hTocAbUyYlPweJfwi8</t>
  </si>
  <si>
    <t>https://drive.google.com/open?id=1fPpcQd6HSCY_NpaFmE580L3Wdw0LgDAI</t>
  </si>
  <si>
    <t>Tri Dinda Jayanti</t>
  </si>
  <si>
    <t>082120203051</t>
  </si>
  <si>
    <t>Diaz Favian Chandra Wijaya</t>
  </si>
  <si>
    <t>082120203061</t>
  </si>
  <si>
    <t>Cluster Green Royal Setu Blok C12 Kel. Bintara Jaya Kec. Bekasi Barat Kota Bekasi. 17136</t>
  </si>
  <si>
    <t>tridinda_</t>
  </si>
  <si>
    <t>https://drive.google.com/open?id=1kEqJHsclqkMUGZ65sLoNEu5DeeAhRrGy</t>
  </si>
  <si>
    <t>https://drive.google.com/open?id=1ghMK015tBddED-1kN24HBJLAZb2eAqdW</t>
  </si>
  <si>
    <t>https://drive.google.com/open?id=1GwC0xyJfAqxI6U9CMGRmhHpJBNrKfGub</t>
  </si>
  <si>
    <t>https://drive.google.com/open?id=1eFqmw1K2NHN56CzULZWy-SEM1m1DhnTq</t>
  </si>
  <si>
    <t>Dewi Rusyana</t>
  </si>
  <si>
    <t>082223727571</t>
  </si>
  <si>
    <t>Haji Dito Murya Alfarohmi</t>
  </si>
  <si>
    <t>+62 811-1772-195</t>
  </si>
  <si>
    <t>Matraman Jaktim</t>
  </si>
  <si>
    <t>Cluster Town House depan Musholla Nurul Huda, Unit J, Jl. Kayu Manis VIII Gg. Salam 1 RT.03/08 Matraman, Jakarta Timur 13130</t>
  </si>
  <si>
    <t>dewirsyn1004</t>
  </si>
  <si>
    <t>https://drive.google.com/open?id=1sNyP16CPjXoed7bPENsQUAc7fZsYXlSM</t>
  </si>
  <si>
    <t>https://drive.google.com/open?id=1FxNOcQsbY6Vxx_Qh0OjrZY5KzrWvOta3</t>
  </si>
  <si>
    <t>https://drive.google.com/open?id=1y7lokSw6hpUwehE8IW3qaKSxZi6PcLzZ</t>
  </si>
  <si>
    <t>https://drive.google.com/open?id=1IJtsmCVSN9STVWMGPttTAhJ161rOpFw9</t>
  </si>
  <si>
    <t>Matraman Jakarta Timur</t>
  </si>
  <si>
    <t>Jl. Mangga Raya No.209 RT 03 RW 05 Utan Kayu Utara, Matraman jakarta timur Lokamar 209</t>
  </si>
  <si>
    <t>https://drive.google.com/open?id=1reyiGpxCPln0yHSt1ULra-P7TrE5k9VB</t>
  </si>
  <si>
    <t>https://drive.google.com/open?id=1tR0Xyup9YF1Gk6LIcnGUi0HPxZDNLm1E</t>
  </si>
  <si>
    <t>https://drive.google.com/open?id=1SexefuQBMXHn3uuETCQZlzf3mvvWn_CC</t>
  </si>
  <si>
    <t>https://drive.google.com/open?id=1sWaO2CfZ01PzW9Q4yVrUl6DMyqDzM2oN</t>
  </si>
  <si>
    <t>082223717571</t>
  </si>
  <si>
    <t>Haji Dito Murya A</t>
  </si>
  <si>
    <t>Matraman</t>
  </si>
  <si>
    <t>https://drive.google.com/open?id=14ibe_0ECWDEMJ_a7XSmzJiT0yqWlkxgP</t>
  </si>
  <si>
    <t>https://drive.google.com/open?id=13x0wyM3X4ewuOKH3h8ob30xMGulvlHq1</t>
  </si>
  <si>
    <t>https://drive.google.com/open?id=1JB0VYSwpBcJL2--EIqbpiVwuMOIrUpk3</t>
  </si>
  <si>
    <t>Deby Rahma Tsabita</t>
  </si>
  <si>
    <t>082110098955</t>
  </si>
  <si>
    <t>Ahmad Qadar Fadhila</t>
  </si>
  <si>
    <t>087885218211</t>
  </si>
  <si>
    <t>Jl. Taman Provence no. 66 Palem Semi, Bencongan, Kelapa Dua, Kab. Tangerang</t>
  </si>
  <si>
    <t>Spectra dual s</t>
  </si>
  <si>
    <t>Debyts</t>
  </si>
  <si>
    <t>https://drive.google.com/open?id=1Y4QugCpP-8SDwH9qTyOsjH5POgiXbzZg</t>
  </si>
  <si>
    <t>https://drive.google.com/open?id=1rGCw64DG1EqLvCrxGZRT2Ukrkfts_cyC</t>
  </si>
  <si>
    <t>https://drive.google.com/open?id=16WJeK4948JerLTgt6y9EH287-Py3-1ui</t>
  </si>
  <si>
    <t>Gita rogayah</t>
  </si>
  <si>
    <t>082127327683</t>
  </si>
  <si>
    <t xml:space="preserve">Irfhan harris </t>
  </si>
  <si>
    <t>081288428567</t>
  </si>
  <si>
    <t xml:space="preserve">toko Gita Parfume, JL. KH. Hasyim Ashari no 137,  kec: gambir kel: cideng. Jakarta Pusat 10140 </t>
  </si>
  <si>
    <t>toko Gita Parfume, JL. KH. Hasyim Ashari no 137,  kec: gambir kel: cideng. Jakarta Pusat 10140</t>
  </si>
  <si>
    <t>Medela maxi</t>
  </si>
  <si>
    <t>gitarogayah</t>
  </si>
  <si>
    <t>https://drive.google.com/open?id=1ym9q0TWwOk3XbzEbrT6BQHvNhlj8jOLG</t>
  </si>
  <si>
    <t>https://drive.google.com/open?id=1q6WkcSHnczmha0YXg8wV5NCRHi6Sixuo</t>
  </si>
  <si>
    <t>https://drive.google.com/open?id=1XRWzXMB4VJMjJoU1sR7KsWMxzcdK5_PS</t>
  </si>
  <si>
    <t>https://drive.google.com/open?id=1cJYeC-4KI7j102O0FemgDkDoaDkqw-mZ</t>
  </si>
  <si>
    <t>Maya Candra Yunita</t>
  </si>
  <si>
    <t>085329443642</t>
  </si>
  <si>
    <t>Lukni Maulana</t>
  </si>
  <si>
    <t>08113109401</t>
  </si>
  <si>
    <t>Cendana Parc 9 No.1 Lippo Village, Kadu, Kec. Curug, Kab. Tangerang</t>
  </si>
  <si>
    <t>@maychany</t>
  </si>
  <si>
    <t>https://drive.google.com/open?id=1rV2a9eF0TaiyUY9Nj2MZPZRHnP8F8-P3</t>
  </si>
  <si>
    <t>https://drive.google.com/open?id=1phB1nIdMsd3Wa8b65gXnCj9ZzcoHYSq9</t>
  </si>
  <si>
    <t>https://drive.google.com/open?id=1H459PqGoYFce4WUXrhSz3bHZAHmjjkH-</t>
  </si>
  <si>
    <t>https://drive.google.com/open?id=1GK_iotbIz7fxLoRoIm2o1UfRNOr98x4u</t>
  </si>
  <si>
    <t>Muftidah</t>
  </si>
  <si>
    <t>081284943300</t>
  </si>
  <si>
    <t>Riyan febriono</t>
  </si>
  <si>
    <t>081311497779</t>
  </si>
  <si>
    <t>Perum griya sepatan. Kab. Tangerang</t>
  </si>
  <si>
    <t>Perum griya sepatan. Jl.manggis blok A3 No.10 kec. Sepatan, kel. Pisangan jaya, kab. Tangerang</t>
  </si>
  <si>
    <t>Fii.dah</t>
  </si>
  <si>
    <t>https://drive.google.com/open?id=1M0wSj4aNaeA_9WQ1k-oLaRXzfQgGRvsg</t>
  </si>
  <si>
    <t>https://drive.google.com/open?id=1MKDuaSHennG14alC7s3qOt48OSR1ILer</t>
  </si>
  <si>
    <t>https://drive.google.com/open?id=18g0AtZt7AddRwCimuqgASsHCxKwv_SqE</t>
  </si>
  <si>
    <t>https://drive.google.com/open?id=1Bv3WkzGkHJf3k6myUNrl4WsdPWZp_kZT</t>
  </si>
  <si>
    <t>Cluster Green Royal Setu Blok C12. Bintara Jaya. Bekasi Barat. Kota Bekasi. 17136</t>
  </si>
  <si>
    <t>https://drive.google.com/open?id=1-cPMSM8GFynMghSgTgawFyFOwQChYVfg</t>
  </si>
  <si>
    <t>https://drive.google.com/open?id=15WKVp0PCtSnhMvXevRBgl3NRTeJtVKlL</t>
  </si>
  <si>
    <t>https://drive.google.com/open?id=1y5boq6Xkbhfohj7h0D2l82lYRQWrem0S</t>
  </si>
  <si>
    <t>https://drive.google.com/open?id=1ffjntS75OH-hXLsoO-xnrBM-ZVsGcIds</t>
  </si>
  <si>
    <t>Nadiah Ardiyanti</t>
  </si>
  <si>
    <t>089653272888</t>
  </si>
  <si>
    <t>M. Hilmi Rusli</t>
  </si>
  <si>
    <t>+62 821-4535-3598</t>
  </si>
  <si>
    <t>Jl. Karya Damai 2 No. 89 Buaran Indah, Tangerang</t>
  </si>
  <si>
    <t>Pompa Asi Mom Uung</t>
  </si>
  <si>
    <t>Nadiahrdynt</t>
  </si>
  <si>
    <t>https://drive.google.com/open?id=1nckfw0YkceKh3pe76tb6IGb0wcglQEZp</t>
  </si>
  <si>
    <t>https://drive.google.com/open?id=1sr1Vge5ewtXEi4YzUjoFTL097fjr8UjM</t>
  </si>
  <si>
    <t>https://drive.google.com/open?id=1TjH96M2oS6GWlIzKah7DrfoMnlUbB78E</t>
  </si>
  <si>
    <t>https://drive.google.com/open?id=1E-bqQhC8a5TQGC9QnWDe_xCUtwg41o2k</t>
  </si>
  <si>
    <t>Cynthia</t>
  </si>
  <si>
    <t>081353637389</t>
  </si>
  <si>
    <t>Suprionoto</t>
  </si>
  <si>
    <t>+62 898-1283-311</t>
  </si>
  <si>
    <t xml:space="preserve">Dipa residence </t>
  </si>
  <si>
    <t>Dipa residence no 18 kreo larangan tangerang</t>
  </si>
  <si>
    <t>Cynthiahalim</t>
  </si>
  <si>
    <t>https://drive.google.com/open?id=1Iuwi-yrbpG7laRlZwE7E5dnIMy-TZaTW</t>
  </si>
  <si>
    <t>https://drive.google.com/open?id=1iD6ARKFI8MnFbTzBwr25_rf6ivVCGc7x</t>
  </si>
  <si>
    <t>https://drive.google.com/open?id=1q0Je_mIdsHG3ihbUA-wMEvIksEJthY3q</t>
  </si>
  <si>
    <t>https://drive.google.com/open?id=1e-9_TCIy7_0QSg-2SF9ihJ34ZaCBWMs_</t>
  </si>
  <si>
    <t>Buni Residence</t>
  </si>
  <si>
    <t>Buni Residence No. 78 RT 02/RW 04 Kel. Munjul Kec. Cipayung Jakarta Timur 13850</t>
  </si>
  <si>
    <t>Medela Swing Maxi Handsfree</t>
  </si>
  <si>
    <t>https://drive.google.com/open?id=1n4o-ZbCD_VgQHyMsQRVw7SjwkEld65zt</t>
  </si>
  <si>
    <t>https://drive.google.com/open?id=1H5DsSqBFBPZ_Z2VSU1LGDgbO--XXaraQ</t>
  </si>
  <si>
    <t>https://drive.google.com/open?id=1yd8VGViUNZk9kC_o9iEk24Xh8uu_NcI3</t>
  </si>
  <si>
    <t>https://drive.google.com/open?id=1_kkHBSrUVbZc0bPsmYUueLYgE-EVbtOI</t>
  </si>
  <si>
    <t>+62 821-5102-5324</t>
  </si>
  <si>
    <t>Jalan Damai 1 no 71</t>
  </si>
  <si>
    <t>Jl. Raya Pajajaran No.14 No 62, RT.002/RW.005, Gandasari, Kec. Jatiuwung, Kabupaten Tangerang, Banten 15137</t>
  </si>
  <si>
    <t>ichhaci</t>
  </si>
  <si>
    <t>https://drive.google.com/open?id=1n1VYhZbIkxJWtGn0cPNrLCmsKLrZwPWh</t>
  </si>
  <si>
    <t>https://drive.google.com/open?id=1DfzSpzLpFb3pVYQZcPGgkcE50tQ4aGDR</t>
  </si>
  <si>
    <t>https://drive.google.com/open?id=1gYKdiXN2TFkHM4czHZUDm2dyqyLjZv2Z</t>
  </si>
  <si>
    <t>https://drive.google.com/open?id=1HES9YrnnJjTAb2t3j0k6-eyC5hRKpkO6</t>
  </si>
  <si>
    <t xml:space="preserve">Arrifa Nur Salma </t>
  </si>
  <si>
    <t>08982763570</t>
  </si>
  <si>
    <t>Muhammad Dzaki Habibi</t>
  </si>
  <si>
    <t>+62 817-7071-0387</t>
  </si>
  <si>
    <t xml:space="preserve">Jln kenari II Blok C No 505 rt. 002 rw 16 perumahan Margahayu Bekasi timur </t>
  </si>
  <si>
    <t>@arrifans</t>
  </si>
  <si>
    <t>https://drive.google.com/open?id=1OJDJwnI-aniY0RamOxUOaK8upMBvkJKC</t>
  </si>
  <si>
    <t>https://drive.google.com/open?id=1L3_fAUqvoQoVfkmCCtREdDc9fA1K4AGN</t>
  </si>
  <si>
    <t>https://drive.google.com/open?id=1n50BdrpqCSVdzhoCaHPIJjz43BF4FIXD</t>
  </si>
  <si>
    <t>Lina</t>
  </si>
  <si>
    <t>082124040660</t>
  </si>
  <si>
    <t>Yonald Agungputera</t>
  </si>
  <si>
    <t>081295960896</t>
  </si>
  <si>
    <t>Milano village, jl. Milano 7 no 2</t>
  </si>
  <si>
    <t>Milano village, JL. Milano 7 no 2, pagedangan, kab. Tangerang, banten 15338</t>
  </si>
  <si>
    <t>mslina_</t>
  </si>
  <si>
    <t>https://drive.google.com/open?id=1QzazN02XpYOlOg0TWLt5m3cLs_Mq0UM-</t>
  </si>
  <si>
    <t>https://drive.google.com/open?id=1TGYdpIvxHFVwNXEkYVqSsIr6JA4vW4DM</t>
  </si>
  <si>
    <t>https://drive.google.com/open?id=1Sln5k-OUrj5vuW-CylGgmoP9219LRjmU</t>
  </si>
  <si>
    <t>https://drive.google.com/open?id=1RHnQvIjpch31cQyCP7tduNAmX5IrKcBp</t>
  </si>
  <si>
    <t>Sarah humaira</t>
  </si>
  <si>
    <t>087825978012</t>
  </si>
  <si>
    <t>Muhammad qadavi</t>
  </si>
  <si>
    <t>0811946205</t>
  </si>
  <si>
    <t xml:space="preserve">Perumahan cavana lebak bulus
Unit c23
Jalan h nudin rt 5 rw 3 lebak bulus jakarta selatan 12440 </t>
  </si>
  <si>
    <t>_s.humaira</t>
  </si>
  <si>
    <t>https://drive.google.com/open?id=1oj0SYtvYDe4gPGim6i4hXa_gN_Caprs3</t>
  </si>
  <si>
    <t>https://drive.google.com/open?id=163VrD8smZJNBIAPWmwM4nWUctgVWGEM1</t>
  </si>
  <si>
    <t>https://drive.google.com/open?id=1-iNNoItVUr72z1_7Ao38APauXJvaT1XW</t>
  </si>
  <si>
    <t>Adira Kori Kallista</t>
  </si>
  <si>
    <t>08176913337</t>
  </si>
  <si>
    <t>Ishlah Muhammad Rahman</t>
  </si>
  <si>
    <t>082122540530</t>
  </si>
  <si>
    <t>Pesona Montreal Kota Wisata, Blok YA5 No.9, Limus Nunggal, Cileungsi, Kab. Bogor, Jawa Barat</t>
  </si>
  <si>
    <t>heyitsdira22</t>
  </si>
  <si>
    <t>https://drive.google.com/open?id=12Tj6gg9CFIedt0JHAHxw4RoU9vM3ukRV</t>
  </si>
  <si>
    <t>https://drive.google.com/open?id=15h4e63ljp8R74KTZOfYKUnEAm5RGpfaw</t>
  </si>
  <si>
    <t>https://drive.google.com/open?id=1Xl6a8PjWs8HssvYvyt4puDfwvyAd-Dod</t>
  </si>
  <si>
    <t>https://drive.google.com/open?id=1KAg5pbWbmMWsBNdCf9xrnYmzfF_yaiGr</t>
  </si>
  <si>
    <t>Retno Octavia</t>
  </si>
  <si>
    <t>087777761003</t>
  </si>
  <si>
    <t>Sapta Hilmawan</t>
  </si>
  <si>
    <t>+62 812-8478-3443</t>
  </si>
  <si>
    <t>Kp Poncol Jl SDN Cipadu 1 No 10 Kel. Cipadu Kec. Larangan Kota Tangerang 15155</t>
  </si>
  <si>
    <t>@retnoctv</t>
  </si>
  <si>
    <t>https://drive.google.com/open?id=1KqxGjFj4rpH9tJmOTQATijab_gNl7A11</t>
  </si>
  <si>
    <t>https://drive.google.com/open?id=1Phl2EhTp8PZfaDpFgUeOv3Yp-8OJHdNE</t>
  </si>
  <si>
    <t>https://drive.google.com/open?id=18HUvQmQh73oOmDb_9uXRLy1X7skItIp0</t>
  </si>
  <si>
    <t>https://drive.google.com/open?id=1iVUqzdr22tmC86oOEpBYmT7JvMPMsms-</t>
  </si>
  <si>
    <t xml:space="preserve">
Jl. Damai No. 44b Rt. 15/rw. 2, Petukangan Selatan, Pesanggrahan, Kota Jakarta Selatan, DKI Jakarta, Indonesia, 12270</t>
  </si>
  <si>
    <t>@Diajengrmdwt</t>
  </si>
  <si>
    <t>https://drive.google.com/open?id=1OXkr88SKvNRZeA2tqXcLKrdAbDotXLU2</t>
  </si>
  <si>
    <t>https://drive.google.com/open?id=1RCknhhyPoP2BSZ6QcgRHiLAbmKyZDoDf</t>
  </si>
  <si>
    <t>https://drive.google.com/open?id=1K_uYH4hc-gWPlTQhPzBHmOeUU235zxxq</t>
  </si>
  <si>
    <t>https://drive.google.com/open?id=1bThXk5UsqVVwTJmLEgcCfyDhvKlxo56h</t>
  </si>
  <si>
    <t>Debora Ellyana Victoria</t>
  </si>
  <si>
    <t>+62881082065798</t>
  </si>
  <si>
    <t>Ebony Nainggolan</t>
  </si>
  <si>
    <t>+6281385242581</t>
  </si>
  <si>
    <t>Jl. M. Saidi Raya no 74, Komplek Nuansa Pesanggrahan, Petukangan Selatan, Jakarta Selatan</t>
  </si>
  <si>
    <t>debpanjaitan_</t>
  </si>
  <si>
    <t>https://drive.google.com/open?id=1CttFjVG4X5VkVX-AbAjq0E8SLPr9EdVQ</t>
  </si>
  <si>
    <t>https://drive.google.com/open?id=1LBRbkTcQdKz7f7Cgjva-M5fCxAvi-5w5</t>
  </si>
  <si>
    <t>https://drive.google.com/open?id=1wjcyCgw6gHgZnfmSKVRqJ3Dsk3MdWxDA</t>
  </si>
  <si>
    <t>Agnes noventi</t>
  </si>
  <si>
    <t>082181311103</t>
  </si>
  <si>
    <t>Antonnius saputra</t>
  </si>
  <si>
    <t>081325999636</t>
  </si>
  <si>
    <t>Cluster new jasmine gading serpong</t>
  </si>
  <si>
    <t>Ethelgitha agnes</t>
  </si>
  <si>
    <t>https://drive.google.com/open?id=1BsZGXDxEzKtOE2UzQz8r96EnocmWatq4</t>
  </si>
  <si>
    <t>https://drive.google.com/open?id=1KQ5QfjYzUbLUxLq2BZh6rVAMUoFTybJI</t>
  </si>
  <si>
    <t>https://drive.google.com/open?id=1yN9IHQBEuM2-raAwsVHNA78MrVCokuv8</t>
  </si>
  <si>
    <t>https://drive.google.com/open?id=1qe8j3ESZOrCLGqiN-cUg_z6Zc64uIW1O</t>
  </si>
  <si>
    <t>Fadhila Syifa Permata Sari</t>
  </si>
  <si>
    <t>081222646929</t>
  </si>
  <si>
    <t>Lazuardian Muhammad Malik</t>
  </si>
  <si>
    <t>+62 857-9324-3350</t>
  </si>
  <si>
    <t xml:space="preserve">Komplek Bumi Puspitek Asri, Sektor I Blok J No. 14 (PJS 14), Jalan Bioteknologi RT 005/RW 001 kel. Pagedangan kec. Pagedangan 15339 </t>
  </si>
  <si>
    <t>syifadhilaps</t>
  </si>
  <si>
    <t>https://drive.google.com/open?id=1orHlIAfUq1Li-i0RAmBAKrZodpAqCw2q</t>
  </si>
  <si>
    <t>https://drive.google.com/open?id=1-in8q__V2Vfsck7BQaqni7MwgN8Yzg5Z</t>
  </si>
  <si>
    <t>https://drive.google.com/open?id=15b1-035fcget5X8aa3y89GcxDoKOEsvV</t>
  </si>
  <si>
    <t>https://drive.google.com/open?id=1xNRS_b0OJMGo8nmvD586pQr4zleF3TOx</t>
  </si>
  <si>
    <t>Anggilia Yuliani Susanti</t>
  </si>
  <si>
    <t>087843564316</t>
  </si>
  <si>
    <t>Ilham Nur Fachri Kusuma</t>
  </si>
  <si>
    <t>089692604198</t>
  </si>
  <si>
    <t xml:space="preserve">jalan agung utara 6A blok A8 no 24 </t>
  </si>
  <si>
    <t>anggiliaa</t>
  </si>
  <si>
    <t>https://drive.google.com/open?id=1Q7srabb68eS7ZFceEVjA0yoXZvm0oXgU</t>
  </si>
  <si>
    <t>https://drive.google.com/open?id=15Pz8TvkZEnywiLS0H8sj18fYcflaRirJ</t>
  </si>
  <si>
    <t>https://drive.google.com/open?id=1q8ZOZWPtyGIkCOydonf3VK3OnKbgel2t</t>
  </si>
  <si>
    <t>https://drive.google.com/open?id=1-kwpF_DW3rpENf8giNKk3e-7uxPr_8bS</t>
  </si>
  <si>
    <t>Dewi setiani</t>
  </si>
  <si>
    <t>085947410594</t>
  </si>
  <si>
    <t>muhammad doni rusmana</t>
  </si>
  <si>
    <t>085710316550</t>
  </si>
  <si>
    <t>jl amd manunggal V rt.06/10 petukangan utara pesanggrahan jakarta selatan</t>
  </si>
  <si>
    <t>moomuung handsfree</t>
  </si>
  <si>
    <t>urr.gf04</t>
  </si>
  <si>
    <t>https://drive.google.com/open?id=1CxGjCNsvzUmipNz9CvILmAUSZCD1evwU</t>
  </si>
  <si>
    <t>https://drive.google.com/open?id=11-0aH44opMtkkP9Ei3DfqBGdvUPN_zV4</t>
  </si>
  <si>
    <t>https://drive.google.com/open?id=1ccH3c_Vnz1SZGQZv-_ALxL9ESivxrDk6</t>
  </si>
  <si>
    <t>https://drive.google.com/open?id=1PROD2JZsmi00UsDJINnpO5hDP2aOX2gK</t>
  </si>
  <si>
    <t>vallenchia</t>
  </si>
  <si>
    <t>087875193576</t>
  </si>
  <si>
    <t>arie wijaya</t>
  </si>
  <si>
    <t>081316198833</t>
  </si>
  <si>
    <t>Perumahan Lavon Swancity, Cluster Allura, Jalan Allura 5 No 8 Blok E2, Wana Kerta (JL. ALLURA 5 No.8), KAB. TANGERANG, SINDANG JAYA, BANTEN, ID, 15560</t>
  </si>
  <si>
    <t>spctra s1+</t>
  </si>
  <si>
    <t>vallenlenn</t>
  </si>
  <si>
    <t>https://drive.google.com/open?id=1ER5TqwolLpBgGkEd2kTMg8RbNAS0MJm8</t>
  </si>
  <si>
    <t>https://drive.google.com/open?id=1-RkxNOrpobEmWV7dwIPjJ2ziGQ_32W5i</t>
  </si>
  <si>
    <t>https://drive.google.com/open?id=15f7_bn8TVO4uDn8JQ48XXo7F4XivzbkT</t>
  </si>
  <si>
    <t>https://drive.google.com/open?id=1hX8n0AwosQfjZ5lpQkCCegaGhUWNukAb</t>
  </si>
  <si>
    <t xml:space="preserve">Riezky Aulia </t>
  </si>
  <si>
    <t>089601884009</t>
  </si>
  <si>
    <t>Muhamad Ilham</t>
  </si>
  <si>
    <t>085943196846</t>
  </si>
  <si>
    <t xml:space="preserve">Kp Utan RT 10/09 No. 27A Cengkareng Timur, Jakarta Barat </t>
  </si>
  <si>
    <t>Mombae Omni handsfree</t>
  </si>
  <si>
    <t>@rzky.auliaa</t>
  </si>
  <si>
    <t>https://drive.google.com/open?id=1CG1Yi8OLTMWa5BMHWCaWw4w9DznhvP1z</t>
  </si>
  <si>
    <t>https://drive.google.com/open?id=1j0-TkcHfGyTaxrsdyrhwEYqrXQXgF0R4</t>
  </si>
  <si>
    <t>https://drive.google.com/open?id=1gCavv1xzWzQE3CdlnC4SlLYawLeXq2Gn</t>
  </si>
  <si>
    <t>https://drive.google.com/open?id=1mvIPp_kJ90KdJvHCmiSmI5FXLar3kiyu</t>
  </si>
  <si>
    <t>Gisela Hanusia</t>
  </si>
  <si>
    <t>081252212187</t>
  </si>
  <si>
    <t>Ary</t>
  </si>
  <si>
    <t>081384531273</t>
  </si>
  <si>
    <t xml:space="preserve">Jl. Pulo Asem Utara Vii </t>
  </si>
  <si>
    <t>Tidak ada ig</t>
  </si>
  <si>
    <t>https://drive.google.com/open?id=1M0suln3fQ9ENFl_MT5kERQ947j2fTWPm</t>
  </si>
  <si>
    <t>https://drive.google.com/open?id=1dhDWcMr3QMPTF7VCXOROwLtGNm6GV0ek</t>
  </si>
  <si>
    <t>https://drive.google.com/open?id=1VbXwlmeWVQ_uKuTWuMFA2JvPtJ2b0r8W</t>
  </si>
  <si>
    <t>Pompa Asi Momabae Omni 2 pcs</t>
  </si>
  <si>
    <t>https://drive.google.com/open?id=1aFwuj_pkmAMQVFubHIaAKGdyXyORbTZQ</t>
  </si>
  <si>
    <t>https://drive.google.com/open?id=1LM9lr7E1_bDkgOJuCLhRoYQbmhvyKv28</t>
  </si>
  <si>
    <t>https://drive.google.com/open?id=1f6GJpQQXfvsmGBDdf1BoNKhIP9SDbfTJ</t>
  </si>
  <si>
    <t>https://drive.google.com/open?id=1qHL9dzeErwCifcfJabo8oqngBDKZcwIh</t>
  </si>
  <si>
    <t>Riri Fariasy</t>
  </si>
  <si>
    <t>087771401549</t>
  </si>
  <si>
    <t>Rofvy Ardiansyah</t>
  </si>
  <si>
    <t>087871360580</t>
  </si>
  <si>
    <t>Grand Rakata Residence Blok H9/02, Kota Cilegon</t>
  </si>
  <si>
    <t>Kp. Sangiang Rt. 002/005, Gebang Raya, Periuk, Kota Tangerang</t>
  </si>
  <si>
    <t>Mom uung portable</t>
  </si>
  <si>
    <t>ririfariasy</t>
  </si>
  <si>
    <t>https://drive.google.com/open?id=1G2DS9g-3KdwQWVDo6QIw6OHvz-vNggAH</t>
  </si>
  <si>
    <t>https://drive.google.com/open?id=1D6_ob8XBLAcqKfmQjYjoDkF6OYOVXEDU</t>
  </si>
  <si>
    <t>https://drive.google.com/open?id=1apIWp4pkwDMLRzkn3g0A-KWbg-KQ_Gik</t>
  </si>
  <si>
    <t>https://drive.google.com/open?id=1d_J8xqrzrh2CZqlDxeEA42rWGN-eD3Lq</t>
  </si>
  <si>
    <t>Phebie syntia k</t>
  </si>
  <si>
    <t>081213964521</t>
  </si>
  <si>
    <t>Christian gunawan</t>
  </si>
  <si>
    <t>08121959477</t>
  </si>
  <si>
    <t>Bukit hijau karawaci b21</t>
  </si>
  <si>
    <t>Phebiekosasih</t>
  </si>
  <si>
    <t>https://drive.google.com/open?id=1PrQpESGBdSmSEcu6tfRMDidupzvaZJk9</t>
  </si>
  <si>
    <t>https://drive.google.com/open?id=18HpwgKkURWbJLX7dYV5vOHWXIy-x6VaV</t>
  </si>
  <si>
    <t>https://drive.google.com/open?id=1oQlYs_8UzVWRMrisS4RvS4R11eI5JTiK</t>
  </si>
  <si>
    <t>https://drive.google.com/open?id=1QWotFNAmsa-cOLmAx2KJ3vI8I-r69T74</t>
  </si>
  <si>
    <t>Novira varadita</t>
  </si>
  <si>
    <t>087773815357</t>
  </si>
  <si>
    <t>Dimas rahaspati</t>
  </si>
  <si>
    <t>081904999883</t>
  </si>
  <si>
    <t>Jl mrican raya no 3, bencongan indah , kab tangerang</t>
  </si>
  <si>
    <t>Medela handsfree</t>
  </si>
  <si>
    <t>Viravaradita</t>
  </si>
  <si>
    <t>https://drive.google.com/open?id=1_Sf1kkexWPck8CCpBsNrf_0Q-dwNHEIC</t>
  </si>
  <si>
    <t>https://drive.google.com/open?id=1D2JhujZtBJuxCSrpZOOAGcJhGhQX_gq5</t>
  </si>
  <si>
    <t>https://drive.google.com/open?id=19uPuH5MZcQ3vn0JZrYOuV8FlcPViKFIm</t>
  </si>
  <si>
    <t>Tri nugraheni handayani</t>
  </si>
  <si>
    <t>082138923541</t>
  </si>
  <si>
    <t>Jihad rizalul hakiki</t>
  </si>
  <si>
    <t>081289897959</t>
  </si>
  <si>
    <t>Cipondoh Makmur Blok G1 10</t>
  </si>
  <si>
    <t>Nugraheni3</t>
  </si>
  <si>
    <t>https://drive.google.com/open?id=1IrTystw3m4B-Wn1tEOKkI5rwLC1-PUKf</t>
  </si>
  <si>
    <t>https://drive.google.com/open?id=1Va18zRaJIuEHgQ5_YTp2F1qzFE-P6y45</t>
  </si>
  <si>
    <t>https://drive.google.com/open?id=1IV-wHe2T8Ya06hh3AH8-HxVkfMH7rTx-</t>
  </si>
  <si>
    <t>Adelina William</t>
  </si>
  <si>
    <t>087823976199</t>
  </si>
  <si>
    <t>Hardian</t>
  </si>
  <si>
    <t>081286010177</t>
  </si>
  <si>
    <t>Agnesi utara 3 no 16</t>
  </si>
  <si>
    <t>Medela swing maxi double 2.0</t>
  </si>
  <si>
    <t>Adelinawilliam</t>
  </si>
  <si>
    <t>https://drive.google.com/open?id=1Tfs57JIl51y2uaCBKngrSiyFvjptjbeu</t>
  </si>
  <si>
    <t>https://drive.google.com/open?id=1Gh6eg-wT-VtHLyzK7FiqUZfs0uS1vuZX</t>
  </si>
  <si>
    <t>https://drive.google.com/open?id=1UHJ-HR4XZF8zoU-9nz9PqYmQB284YG_z</t>
  </si>
  <si>
    <t>Andriyani Putri Amelia</t>
  </si>
  <si>
    <t>08961729429</t>
  </si>
  <si>
    <t>Ardi Irawan</t>
  </si>
  <si>
    <t>085771058769</t>
  </si>
  <si>
    <t>Puri Adika Blok DH No. 6, Desa Jampang, Kec. Gunung Sindur, Kab. Bogor</t>
  </si>
  <si>
    <t>PT Maha Kimia Indonesia, Ruko Tekno Boulevard Blok G1, Kec. Setu, Kel. Setu, Tangerang Selatan, Banten</t>
  </si>
  <si>
    <t>aputria_</t>
  </si>
  <si>
    <t>https://drive.google.com/open?id=1zTRn_xHlyAwGfAm507UhV1ta7RsDhDwQ</t>
  </si>
  <si>
    <t>https://drive.google.com/open?id=1GhFm4Gnwv_CsXmM0Fs8-6oPbjmi54iTI</t>
  </si>
  <si>
    <t>https://drive.google.com/open?id=1Hfh6FkaCW3uNMBc5Owa8ksFOYLhyKgPb</t>
  </si>
  <si>
    <t>https://drive.google.com/open?id=1p-o64eXJZwNEHLXc1fQ6hQMTEun6nLyV</t>
  </si>
  <si>
    <t>booking buat 6 maret</t>
  </si>
  <si>
    <t>AUSTINE FARIA KUSUMA</t>
  </si>
  <si>
    <t>083844139145</t>
  </si>
  <si>
    <t>ARYESTANTYA FIKRI DEWANTA</t>
  </si>
  <si>
    <t>PERUMAHAN BUMI AVIA PERMAI 48, BAYEN, PURWOMARTANI, KALASAN, SLEMAN, YOGYAKARTA</t>
  </si>
  <si>
    <t>CASAMORA JAGAKARSA Q2, Jl. Sirsak, RT.4/RW.4, Ciganjur, Kec. Jagakarsa, Kota Jakarta Selatan, Daerah Khusus Ibukota Jakarta 12630</t>
  </si>
  <si>
    <t>MOMCOZY V1 PRO</t>
  </si>
  <si>
    <t>austinech_</t>
  </si>
  <si>
    <t>https://drive.google.com/open?id=1sUJjjucR74aX7qvOMz0_GObZ6rho2qAq</t>
  </si>
  <si>
    <t>https://drive.google.com/open?id=1yfbG8oNyJXMXunJKitGovDxDhu2__RHN</t>
  </si>
  <si>
    <t>https://drive.google.com/open?id=1aJRk9TT8EQvr1hg7IPRany_gnrnjVQlW</t>
  </si>
  <si>
    <t>https://drive.google.com/open?id=1rToXJyrfhby4yd-xmvIwtdXz10KNWsv_</t>
  </si>
  <si>
    <t>RIZKY FAJARIA RIPAMULY</t>
  </si>
  <si>
    <t>MUHAMMAD AFWAN ABDILLAH</t>
  </si>
  <si>
    <t>085155210182</t>
  </si>
  <si>
    <t>Jl. Kecubung XI No.220 RT004/RW038, Rawalumbu, Bekasi 17116</t>
  </si>
  <si>
    <t>rfajaria</t>
  </si>
  <si>
    <t>https://drive.google.com/open?id=1d_w7uV6IYBgUgbhYB-_4g-0YytW0VZAW</t>
  </si>
  <si>
    <t>https://drive.google.com/open?id=1izfhcDiv_H2Nzw-UlH7GqiUUozFYNjok</t>
  </si>
  <si>
    <t>https://drive.google.com/open?id=1oAcYbvWwAHz3mABsGKrNeIQNhpd8Z6Nu</t>
  </si>
  <si>
    <t>https://drive.google.com/open?id=1NCJ1pD2fUAvIShzRV3GQcFfzHMFBBsR0</t>
  </si>
  <si>
    <t xml:space="preserve">Petrina Theda Philothra </t>
  </si>
  <si>
    <t>082332853533</t>
  </si>
  <si>
    <t xml:space="preserve">Lalu Muhammad Irham </t>
  </si>
  <si>
    <t>085132255414</t>
  </si>
  <si>
    <t>Perumahan DM Village Sudimoro blok i3 Jalan Imogiri Barat Km 7,5 No. 37 Bantul, timbulharjo, Yogyakarta 55188 Indonesia</t>
  </si>
  <si>
    <t xml:space="preserve">Jl. Prabu siliwangi no 2 Jelakombo Jombang </t>
  </si>
  <si>
    <t>Petrinatheda</t>
  </si>
  <si>
    <t>https://drive.google.com/open?id=1qT1RWUw3SByI-d6wMhteOqYCFo29BIFX</t>
  </si>
  <si>
    <t>https://drive.google.com/open?id=12ocssY0DaibKHVqABr-KKLl4WgY-dMff</t>
  </si>
  <si>
    <t>https://drive.google.com/open?id=179v2iDhJBb_SB2WitWJ8NodP_BXGVIfQ</t>
  </si>
  <si>
    <t>https://drive.google.com/open?id=1GVtAnaOSQ3reHPpSALXrMNmWlcObERiH</t>
  </si>
  <si>
    <t>+62 851-3225-5414</t>
  </si>
  <si>
    <t xml:space="preserve">Jl. Prabu Siliwangi no 2 Jelakombo Jombang </t>
  </si>
  <si>
    <t>Pompa asi gabag</t>
  </si>
  <si>
    <t xml:space="preserve">Petrinatheda </t>
  </si>
  <si>
    <t>https://drive.google.com/open?id=1R25oeJ0FD2sjMIeusaCiOSAsozZ2QTTJ</t>
  </si>
  <si>
    <t>https://drive.google.com/open?id=1C8xm2KYMBDhK6LJ13hoDXzR0iNcYKOp6</t>
  </si>
  <si>
    <t>https://drive.google.com/open?id=1wczzEQKQWR3l11U0wDZfzbTecPZx-zMZ</t>
  </si>
  <si>
    <t>https://drive.google.com/open?id=1aXPLppGuFTxJLwP8Gy3I4s-aE-wPwP-g</t>
  </si>
  <si>
    <t>sindy novianti</t>
  </si>
  <si>
    <t>085708578864</t>
  </si>
  <si>
    <t>mufasirudin</t>
  </si>
  <si>
    <t>+62 812-9891-6605</t>
  </si>
  <si>
    <t xml:space="preserve">cimone 01/009 </t>
  </si>
  <si>
    <t>Jalan Proklamasi No. 33, Cimone Jaya, Karawaci, KOTA TANGERANG, KARAWACI, BANTEN, ID, 15114</t>
  </si>
  <si>
    <t>spectra dual</t>
  </si>
  <si>
    <t>sndy.nv</t>
  </si>
  <si>
    <t>https://drive.google.com/open?id=1uW3qoFU4dypbSIGMwEkrBubryz32g8PR</t>
  </si>
  <si>
    <t>https://drive.google.com/open?id=1vayw3nsiJMX3N7T5du7OSelAn7kOO5Zi</t>
  </si>
  <si>
    <t>https://drive.google.com/open?id=123VHLsW81kf8l4FFnsSs-9oJigsMF7ea</t>
  </si>
  <si>
    <t>https://drive.google.com/open?id=1shJSmypbqGpOa82WcPZDuJjF1z99XAhn</t>
  </si>
  <si>
    <t>Siti Durotul Mauliddia</t>
  </si>
  <si>
    <t>085697388155</t>
  </si>
  <si>
    <t>Bayu setiaji</t>
  </si>
  <si>
    <t>083898917639</t>
  </si>
  <si>
    <t>kp pondok kulon rt/rw 003/001 pakuhaji</t>
  </si>
  <si>
    <t>mliddiaa</t>
  </si>
  <si>
    <t>https://drive.google.com/open?id=192i7uFKv3Ggf3UUbAcVC-s7w34rmoXK7</t>
  </si>
  <si>
    <t>https://drive.google.com/open?id=1p7Vfq75yZ5x8kcWqeemmsQy3DjxToARA</t>
  </si>
  <si>
    <t>https://drive.google.com/open?id=1d81Cs1fCCReC2QSRTn7JXDga5QhT62u7</t>
  </si>
  <si>
    <t>https://drive.google.com/open?id=1wxHEKhQ3_YBV8bP0cCnrX7BRiXzF02bC</t>
  </si>
  <si>
    <t>087771401548</t>
  </si>
  <si>
    <t>Jl. Prabu Kian Santang Gg. Damai 3 Rt. 02/05 No. 21 Kp. Sangiang, Gebang Raya, Periuk, Kota Tangerang</t>
  </si>
  <si>
    <t>https://drive.google.com/open?id=1B0Rq20qkadRA7zntSnz1u-C__-6Fy2_U</t>
  </si>
  <si>
    <t>https://drive.google.com/open?id=1iwF_R_3u7vFsexv6whx0kq3FpL_j_UVM</t>
  </si>
  <si>
    <t>https://drive.google.com/open?id=1D_KYEWq9T1x-Cu10EDk4rYas_IPAYVeG</t>
  </si>
  <si>
    <t>Irvana eka safitri</t>
  </si>
  <si>
    <t>085156693501</t>
  </si>
  <si>
    <t>Septiyan tri cahyo</t>
  </si>
  <si>
    <t>085158553671</t>
  </si>
  <si>
    <t>Cluster venice blok G3 no 1 periuk kota tangerang</t>
  </si>
  <si>
    <t>@irvanaeka</t>
  </si>
  <si>
    <t>https://drive.google.com/open?id=1Nd_brZSLXCVlkgVl6tqq4vw-ALPDo2cW</t>
  </si>
  <si>
    <t>https://drive.google.com/open?id=10O8ZEcpLfNEmK8aUVP59hAWB7PKnY9yz</t>
  </si>
  <si>
    <t>https://drive.google.com/open?id=1iLRyFJ_G9OYYruF_hvfhmiNJQF1DGfTK</t>
  </si>
  <si>
    <t>https://drive.google.com/open?id=1Ujv4JmGzmVLjjZozYbz9PTPgSrG7om6f</t>
  </si>
  <si>
    <t>Nadila Aristiaputri</t>
  </si>
  <si>
    <t>081232850845</t>
  </si>
  <si>
    <t>Maarief Sukma Indrawan</t>
  </si>
  <si>
    <t>082132817165</t>
  </si>
  <si>
    <t>Jalan Teratai 1 Blok S No 15, Kelurahan Duren Sawit, Kecamatan Duren Sawit, Kotamadya Jakarta Timur</t>
  </si>
  <si>
    <t>naristiap@gmail.com</t>
  </si>
  <si>
    <t>https://drive.google.com/open?id=123ATo2p-86i17yM59juIE0pHLt3fT3wP</t>
  </si>
  <si>
    <t>https://drive.google.com/open?id=1nRpwnXt7RbsRqA1N5CG6YLo3gXNlr3R6</t>
  </si>
  <si>
    <t>https://drive.google.com/open?id=1kLYeMw5EfE2Bd3ElV0KK_-2Crf7siO54</t>
  </si>
  <si>
    <t xml:space="preserve">Jl arjuna 3 no 10 rt 06 rw 21 </t>
  </si>
  <si>
    <t>Apartemen springlake tower davalia unit 1007.jl boulevard selatan no 8 kel margajaya kec bekasi utara</t>
  </si>
  <si>
    <t>https://drive.google.com/open?id=1VXWVMOBvkRzuf7DqKZEWNY03JL0aO0oN</t>
  </si>
  <si>
    <t>https://drive.google.com/open?id=1hvT7Imu7w0FE_2XC8Z8igFl2hCaEsPpM</t>
  </si>
  <si>
    <t>https://drive.google.com/open?id=1HdX_bZFq8lqx9rC-vCKUO56DJVYlXTW3</t>
  </si>
  <si>
    <t>https://drive.google.com/open?id=1Zoegy5qJKvW39X3Q0S-yDJ5aBKhqsB_e</t>
  </si>
  <si>
    <t xml:space="preserve">Tika Mutiyani </t>
  </si>
  <si>
    <t>085700297574</t>
  </si>
  <si>
    <t xml:space="preserve">Nur Arif Saputra </t>
  </si>
  <si>
    <t>085865006649</t>
  </si>
  <si>
    <t>Desa Tetel RT 003 RW 002</t>
  </si>
  <si>
    <t>Desa tetel Rt 03/02 Kecamatan Pengadegan kabupaten Purbalingga Jawa Tengah kode pos 53393
Rumah warna biru</t>
  </si>
  <si>
    <t xml:space="preserve">Bebetons neo v2 </t>
  </si>
  <si>
    <t>tikamutt__</t>
  </si>
  <si>
    <t>https://drive.google.com/open?id=1JThba9HsWsJJGI6v4lfejCKplxpQ-gm7</t>
  </si>
  <si>
    <t>https://drive.google.com/open?id=1jtpVxoQYjMu6Z3-5Z16HOk-qk--XWHu-</t>
  </si>
  <si>
    <t>https://drive.google.com/open?id=1dY_usRxmkm_LOTgOfyv7OZW0BGqOvI6Q</t>
  </si>
  <si>
    <t>https://drive.google.com/open?id=1CLgmwze1h17ISB4bpStlRFN_iRWrQ34n</t>
  </si>
  <si>
    <t>Ayu Dystia Pitaloka Nainggolan</t>
  </si>
  <si>
    <t>082277289296</t>
  </si>
  <si>
    <t>Bernardus A Habeahan</t>
  </si>
  <si>
    <t>081399235206</t>
  </si>
  <si>
    <t>Jl H Kuwi no 48, Meruya Utara, Kembangan, Jkt Barat</t>
  </si>
  <si>
    <t>ayudpna</t>
  </si>
  <si>
    <t>https://drive.google.com/open?id=1XbpJaAuxH1uYdpfM2sNVN0wVRSIJwJPF</t>
  </si>
  <si>
    <t>https://drive.google.com/open?id=1Jnk5L3LRhojR-DNN64JB_tfim7UToRiD</t>
  </si>
  <si>
    <t>https://drive.google.com/open?id=1n0uJXvaIyiMx5YT4BlsihaQp52HnH2nU</t>
  </si>
  <si>
    <t>https://drive.google.com/open?id=1TRyGfvDX-9sKbynTMFZk-dfPcR793jgp</t>
  </si>
  <si>
    <t>Wardatun Malatsih</t>
  </si>
  <si>
    <t>085328068989</t>
  </si>
  <si>
    <t>Moch Hasan</t>
  </si>
  <si>
    <t>0812-9461-8484</t>
  </si>
  <si>
    <t>Apartemen Mitra Oasis Pasar Senen, Jakarta Pusat</t>
  </si>
  <si>
    <t>Apartemen Oasis Mitra Sarana (Tower B Unit 211)
Jl. Senen Raya No.135, RT.2/RW.2, Senen, Kec. Senen, Kota Jakarta Pusat, Daerah Khusus Ibukota Jakarta 10410</t>
  </si>
  <si>
    <t>Medela swing maxy HF</t>
  </si>
  <si>
    <t>wardamala</t>
  </si>
  <si>
    <t>https://drive.google.com/open?id=1ou2tSgqx-lN3I4dVHdu-mSNwb8pSu6rS</t>
  </si>
  <si>
    <t>https://drive.google.com/open?id=1qBnoT2FWX4AjICQeijTx6s7EmBqe-8Nn</t>
  </si>
  <si>
    <t>https://drive.google.com/open?id=1OIteLOFq08kuljm77U2cnU1iPUXHKqKi</t>
  </si>
  <si>
    <t>https://drive.google.com/open?id=11yWMccPcWNB4LXk2Q7OImRcQQn-YZvGk</t>
  </si>
  <si>
    <t>Destia Puspita Sari</t>
  </si>
  <si>
    <t>082397132630</t>
  </si>
  <si>
    <t>Lionis Abi Krisna</t>
  </si>
  <si>
    <t>083105063071</t>
  </si>
  <si>
    <t>Jalan Irmas Kebon Nanas no 60D RT 9/RW 7, Kelurahan Cikokol ( Mushola Al Mubarokah H kadek) Tangerang, Banten 15117</t>
  </si>
  <si>
    <t>@madebydst</t>
  </si>
  <si>
    <t>https://drive.google.com/open?id=14t8aUIyoXvVA_01wy8SjkOrnsPtzHjBH</t>
  </si>
  <si>
    <t>https://drive.google.com/open?id=1r9TrSX7_c5tqlnVWs5DPGb2ndu4EyK6Q</t>
  </si>
  <si>
    <t>https://drive.google.com/open?id=1PoPm1E1W_pO_OFmUY7l6aqmYTllLUAQO</t>
  </si>
  <si>
    <t>Astin Ayu Anggraini</t>
  </si>
  <si>
    <t>082328340600</t>
  </si>
  <si>
    <t>Saputro Indriawan</t>
  </si>
  <si>
    <t>085877510999</t>
  </si>
  <si>
    <t>Cluster Inara, Jalan Bulusan Selatan I No. 3C RT 08/RW 05 Bulusan, Tembalang, Semarang, Jawa Tengah 50277</t>
  </si>
  <si>
    <t>Momcozy V1 Pro</t>
  </si>
  <si>
    <t>@asyuaini_</t>
  </si>
  <si>
    <t>https://drive.google.com/open?id=1sRvy-O-ESNVoXQH7YQsto7kLhtamtBr2</t>
  </si>
  <si>
    <t>https://drive.google.com/open?id=189vR_CTbb2WzHQjZQRW-v2Au8s9Dw4pI</t>
  </si>
  <si>
    <t>https://drive.google.com/open?id=1qzk8xqkd_WNp68QYtTIXGExAYRQSoprn</t>
  </si>
  <si>
    <t>https://drive.google.com/open?id=1Vv7K7wZEcPWN-jOUecGzNJZ_JLOJnife</t>
  </si>
  <si>
    <t>Naumy puspadina rachmat</t>
  </si>
  <si>
    <t>081298150235</t>
  </si>
  <si>
    <t>Alvian abdul rizaldy</t>
  </si>
  <si>
    <t>+62 812 82249998</t>
  </si>
  <si>
    <t xml:space="preserve">Jl.hm yusuf, gang bale cendana Rt 01/ Rw 011 No.100 Paninggilan - Pondok Lakah. Kec.ciledug , kab.Kota tangerang. Kode pos: 15153         </t>
  </si>
  <si>
    <t>Naumypuspadina</t>
  </si>
  <si>
    <t>https://drive.google.com/open?id=185poCWh30ISNdX59KMMFx-BQdId2C8qn</t>
  </si>
  <si>
    <t>https://drive.google.com/open?id=15vlv7MFKEelOL6B8WsbT-bXf9E2ivX8t</t>
  </si>
  <si>
    <t>https://drive.google.com/open?id=11H8prC3wT7nWJLsILLs_WgFuqF7p3CD0</t>
  </si>
  <si>
    <t xml:space="preserve">‬Jl.hm yusuf, gang bale cendana Rt 01/ Rw 011 No.100 Paninggilan - Pondok Lakah. Kec.ciledug , kab.Kota tangerang. Kode pos: 15153         </t>
  </si>
  <si>
    <t>https://drive.google.com/open?id=1cRR-o3Z72k1M3iqQY-Y_5HsGKLErW8BC</t>
  </si>
  <si>
    <t>https://drive.google.com/open?id=16-uhmdJD6n_5neSVCRJRKm1lv2-8YuBt</t>
  </si>
  <si>
    <t>https://drive.google.com/open?id=1tqIQeTUQduAm3ChJbAwXDIRoD7JcTDes</t>
  </si>
  <si>
    <t>Medela swing maxi HF</t>
  </si>
  <si>
    <t>https://drive.google.com/open?id=1tTb8Jz_UTt6GiTwAJYfETDDY9t2xSxTS</t>
  </si>
  <si>
    <t>https://drive.google.com/open?id=1LMpCERTqIcXYmh59HUxMMDu_olRF3fWp</t>
  </si>
  <si>
    <t>https://drive.google.com/open?id=1kJrdQMNQcX2TtGSiVT0uJw-kZvxdaJqh</t>
  </si>
  <si>
    <t>https://drive.google.com/open?id=1wSdmL6d8Kafyfg-XT3F2iHumv0jUerpl</t>
  </si>
  <si>
    <t>Cluster Green Royal Seru Blok C 12. Kel. Bintara Jaya Kec. Bekasi Barat Kota Bekasi. 17136</t>
  </si>
  <si>
    <t>https://drive.google.com/open?id=1ISG437kmcSpzdAcV42nEEU1gLuRqtyBL</t>
  </si>
  <si>
    <t>https://drive.google.com/open?id=1k5t_1Wk6ixVEXVD_hTDzFmayOCGa2nMg</t>
  </si>
  <si>
    <t>https://drive.google.com/open?id=1XsaEQ_K_auIEAZawXZeLAJh0ICv_gs4m</t>
  </si>
  <si>
    <t>https://drive.google.com/open?id=1xS-CLIfRHlQZLUgI71ajH2uFM1gPxsCd</t>
  </si>
  <si>
    <t>Sthefanny</t>
  </si>
  <si>
    <t>0895711396666</t>
  </si>
  <si>
    <t>Green palm residence jl kresek raya no. 11</t>
  </si>
  <si>
    <t>Green palm residence jl kresek raya no. 11 cengkareng, Jakarta barat</t>
  </si>
  <si>
    <t>Dosubsbjskja</t>
  </si>
  <si>
    <t>https://drive.google.com/open?id=1i1LaK_xPlzwh9yG4HJax2-I6LuNPu8aC</t>
  </si>
  <si>
    <t>https://drive.google.com/open?id=1iJB4u4hZUN8tMULC3QnbexFkgp4OGD4h</t>
  </si>
  <si>
    <t>https://drive.google.com/open?id=1SBbiV0QcaX_OmdWxtgZJW4xivTH8tWLg</t>
  </si>
  <si>
    <t>https://drive.google.com/open?id=1IHgh674XmYD6i-n2jt9zQyybUN_wqz1E</t>
  </si>
  <si>
    <t>gabriella evelyne</t>
  </si>
  <si>
    <t>081399781691</t>
  </si>
  <si>
    <t>berly prokhorus</t>
  </si>
  <si>
    <t>+62 821-8999-9501</t>
  </si>
  <si>
    <t xml:space="preserve">Mtown residence tower dakota md25/18  gading serpong </t>
  </si>
  <si>
    <t>Opia Diamond</t>
  </si>
  <si>
    <t>gabriellaevlyne</t>
  </si>
  <si>
    <t>https://drive.google.com/open?id=1D1xSGgNORHhJpAAdzBC9xoM3bq6dFEAV</t>
  </si>
  <si>
    <t>https://drive.google.com/open?id=1bApRDA9ZqBNzeWKHT6lFojC_wGV1vc7s</t>
  </si>
  <si>
    <t>https://drive.google.com/open?id=1VZ1_HkE8q76_iJIfbXaDiGpp9TDdJ0uS</t>
  </si>
  <si>
    <t>https://drive.google.com/open?id=1h-ogTr-_EZpZqiuX2eK-goxRu6XK1co1</t>
  </si>
  <si>
    <t>Nindya Listyani</t>
  </si>
  <si>
    <t>081932100093</t>
  </si>
  <si>
    <t>Adrian</t>
  </si>
  <si>
    <t>087889200120</t>
  </si>
  <si>
    <t xml:space="preserve">Komplek Bumi Permata Indah, Blok A3/07, RT/RW 002/012, Kel. Karang Mulya, Kec. Karang Tengah, Kota Tangerang - 15157 </t>
  </si>
  <si>
    <t>nindylisty</t>
  </si>
  <si>
    <t>https://drive.google.com/open?id=1yxHL4dzujJlJWXcBMuSI556TfJbHPc-G</t>
  </si>
  <si>
    <t>https://drive.google.com/open?id=1SBS6fLaLy__aUbbxkqaVADE-yqAvMggG</t>
  </si>
  <si>
    <t>https://drive.google.com/open?id=1BKzlb3jM-w179U4DzcK0z5hNg4ReW3-J</t>
  </si>
  <si>
    <t>https://drive.google.com/open?id=1rf5r-g-TBlGw_ShVRORyKIZ9LCxJKUar</t>
  </si>
  <si>
    <t>Shania Shuki</t>
  </si>
  <si>
    <t>087772507111</t>
  </si>
  <si>
    <t>Doviananda</t>
  </si>
  <si>
    <t>087778382567</t>
  </si>
  <si>
    <t>Jl. Dermaga Indah I No. 5, Klender, Duren Sawit, Jakarta Timur</t>
  </si>
  <si>
    <t>august.darling</t>
  </si>
  <si>
    <t>https://drive.google.com/open?id=1bVk5PG2SEbCGCUtD12ROZhAmkrKEr88B</t>
  </si>
  <si>
    <t>https://drive.google.com/open?id=1cutauYeVxgJCWjEMqcCACzXqhm0X35q_</t>
  </si>
  <si>
    <t>https://drive.google.com/open?id=1USfL59WYkwf_N9EGhXrxEYHRohsjhjR5</t>
  </si>
  <si>
    <t>https://drive.google.com/open?id=16bvZeVw9-NR_ggPkKnQ9y4Y4Y203fmlu</t>
  </si>
  <si>
    <t>Lionis Abu Krisna</t>
  </si>
  <si>
    <t>Jalan Irmas Kebon Nanas no 60D RT 9/RW 7 Kelurahan Cikokol ( Mushola Al Mubarokah H kadek) Tangerang, Banten 15117</t>
  </si>
  <si>
    <t>Momabae Compact</t>
  </si>
  <si>
    <t>madebydst</t>
  </si>
  <si>
    <t>https://drive.google.com/open?id=1azUYANVUckKxPBGzmCItdA6wbW_A-7w8</t>
  </si>
  <si>
    <t>https://drive.google.com/open?id=1h80BfA1qLlCzPrWVS2nWaAdRLrYb8-81</t>
  </si>
  <si>
    <t>https://drive.google.com/open?id=1rSQRP1QkYOkUoNnxPqA7xbDauf6EDnUD</t>
  </si>
  <si>
    <t>Fanfan</t>
  </si>
  <si>
    <t>Green palm residence jl kresek 10c5</t>
  </si>
  <si>
    <t>Interkota a4 no 40 jakarta barat</t>
  </si>
  <si>
    <t>https://drive.google.com/open?id=1LC0z21nrkZSZGjPXVehoHf9dcfa66oHy</t>
  </si>
  <si>
    <t>https://drive.google.com/open?id=1vKw6VLE4VhbU6gUOlZIWh-MlpIQFf3Jk</t>
  </si>
  <si>
    <t>https://drive.google.com/open?id=1eTZsR_4Sbb32hkn90H-fO_todMzTZR7t</t>
  </si>
  <si>
    <t>https://drive.google.com/open?id=1H7nAGAnAB9_hCr00ihluggcPsQm6WxxZ</t>
  </si>
  <si>
    <t>Iqbal alfawwazi</t>
  </si>
  <si>
    <t xml:space="preserve">Perum Taman Asri Blok C6 No.14, Cipadu, Larangan, Tangerang (15155)
</t>
  </si>
  <si>
    <t>V1 pro</t>
  </si>
  <si>
    <t>https://drive.google.com/open?id=1ySt1N5fmBBAC9rdPZLsZxBqlCz-I_rW3</t>
  </si>
  <si>
    <t>https://drive.google.com/open?id=1BvlfsLbgbdg-L2EQivgQZphEfoP23_Tm</t>
  </si>
  <si>
    <t>https://drive.google.com/open?id=1ksqZCKb8Uy8IlYStPIwFcrEmhdBaI5gS</t>
  </si>
  <si>
    <t xml:space="preserve">Sharon Elviee </t>
  </si>
  <si>
    <t>087782338644</t>
  </si>
  <si>
    <t xml:space="preserve">Narendra Pradhana </t>
  </si>
  <si>
    <t>087881989390</t>
  </si>
  <si>
    <t xml:space="preserve">Perumahan Dmansion Bintaro no 12 - Jl Pendidikan 2 - Parigi , Pondok Aren 15227 </t>
  </si>
  <si>
    <t xml:space="preserve">Medela swing maxi handsfree </t>
  </si>
  <si>
    <t xml:space="preserve">@sharonelvire </t>
  </si>
  <si>
    <t>https://drive.google.com/open?id=1hkMie-O4n7mxMo-9ISLm_fHZiiC68LG6</t>
  </si>
  <si>
    <t>https://drive.google.com/open?id=1dGdlhTkkKHuMG4tEc0OxqjPuL-pPen58</t>
  </si>
  <si>
    <t>https://drive.google.com/open?id=1pwSvwj3htzSGNjHkdvX0xYFgfmrmr4N3</t>
  </si>
  <si>
    <t>https://drive.google.com/open?id=1tzPltEydSoI7UCAMd3kTOwKmYl-iXarL</t>
  </si>
  <si>
    <t>booking untuk 25 maret</t>
  </si>
  <si>
    <t>Annisa Nabila</t>
  </si>
  <si>
    <t>081319214161</t>
  </si>
  <si>
    <t xml:space="preserve">Farid Ghozi </t>
  </si>
  <si>
    <t>085691234361</t>
  </si>
  <si>
    <t xml:space="preserve">Jalan sadar raya no 27 a, Ciganjur, Jagakarsa, Jkt Selatan </t>
  </si>
  <si>
    <t>_annisan</t>
  </si>
  <si>
    <t>https://drive.google.com/open?id=1jIjb1ixj6JTvYldHwG9bm78U1DNQhRu5</t>
  </si>
  <si>
    <t>https://drive.google.com/open?id=1vXoDro__Rq_Ng5RVQe2FaQvz1XpHmjfa</t>
  </si>
  <si>
    <t>https://drive.google.com/open?id=1KQs_TLg79Z9tpcvAzpP5n9xRcMm2cV_c</t>
  </si>
  <si>
    <t>https://drive.google.com/open?id=1VVFhGglK_zQN3QEPazkuJVjuBnRZboEN</t>
  </si>
  <si>
    <t>Booking untuk 17 maret</t>
  </si>
  <si>
    <t>Marina Amanda</t>
  </si>
  <si>
    <t>085771107487</t>
  </si>
  <si>
    <t>Ryan Bima</t>
  </si>
  <si>
    <t>085778162891</t>
  </si>
  <si>
    <t>Jalan langgar ujung RT03/01 No.5 Kelurahan larangan utara, Kecamatan larangan Kota Tangerang</t>
  </si>
  <si>
    <t>@Marinamandaa</t>
  </si>
  <si>
    <t>https://drive.google.com/open?id=1FCf9viz7HBhBUQSO7JDSD1n_u-X8UeYJ</t>
  </si>
  <si>
    <t>https://drive.google.com/open?id=1jQlDOjng9csa05rJKxL1cjnTvU6-ysc8</t>
  </si>
  <si>
    <t>https://drive.google.com/open?id=1LJlPsKJ8BKf2EpLZoHjbUNAFXSCwuc2r</t>
  </si>
  <si>
    <t>Antonnius Saputra</t>
  </si>
  <si>
    <t>081901133669</t>
  </si>
  <si>
    <t>Momabae omni s+</t>
  </si>
  <si>
    <t>Ethelgitha_agnes</t>
  </si>
  <si>
    <t>https://drive.google.com/open?id=1kzkWS1MDnhT5bn4CFK_SGYxtjZTaoreP</t>
  </si>
  <si>
    <t>https://drive.google.com/open?id=1iF1Bv0PX-eSjnZRmE6KNJs_oL3oxNMpx</t>
  </si>
  <si>
    <t>https://drive.google.com/open?id=1WKyRGVDoIqzEhHMz4kZ3eI2IJ2g3ujtd</t>
  </si>
  <si>
    <t>https://drive.google.com/open?id=1orJUqekeaUM41bQzOCNuwCMnwnESiako</t>
  </si>
  <si>
    <t>Cikokol Tangerang</t>
  </si>
  <si>
    <t>Momabae Omni S+</t>
  </si>
  <si>
    <t>https://drive.google.com/open?id=1iABa7IvuyqbdXVLAF2xfw_ue3ocH1qY7</t>
  </si>
  <si>
    <t>https://drive.google.com/open?id=1elVk6imHVRsTnU_qPlP_yWRfqwRfmlM6</t>
  </si>
  <si>
    <t>https://drive.google.com/open?id=1WhbEmrAv_eL5wYE_I0ZHtM4UXhkBozWq</t>
  </si>
  <si>
    <t>Nur Farras Nabilah Shafiyah</t>
  </si>
  <si>
    <t>089629970392</t>
  </si>
  <si>
    <t>Hafizh Fathi Ramadhan</t>
  </si>
  <si>
    <t>+62 896-6206-2706</t>
  </si>
  <si>
    <t>Jl sungai kampar 9 no 623 rt 14 rw 1 kel semper barat kec cilincing, KOTA JAKARTA UTARA, CILINCING, DKI JAKARTA, ID, 14130</t>
  </si>
  <si>
    <t>Farras_nabilah</t>
  </si>
  <si>
    <t>https://drive.google.com/open?id=1svUkFT8qJavrmnmRIkkp7tfs1DibLlsB</t>
  </si>
  <si>
    <t>https://drive.google.com/open?id=1Ip0908OvX0zcsSp6hdIGT_sYzTJp76pS</t>
  </si>
  <si>
    <t>https://drive.google.com/open?id=1fRl0qbq0I7OALea3mxUI88rMqWdH912f</t>
  </si>
  <si>
    <t>https://drive.google.com/open?id=1pOn6Y99pw7yEkZ6P-T0_8Tk8i7nZQTxa</t>
  </si>
  <si>
    <t>ade noviana azhar</t>
  </si>
  <si>
    <t>085868600294</t>
  </si>
  <si>
    <t>abdurrasyid dzaki</t>
  </si>
  <si>
    <t>085866151517</t>
  </si>
  <si>
    <t>Kontrakan Griya Sumber Sitona Jalan Sahabat Blok C, RT 001/01 No. 40, Rumah No. 2, Jurangmangu Timur Pondok Aren, Tangsel 15222</t>
  </si>
  <si>
    <t>momcozy v2pro</t>
  </si>
  <si>
    <t>adeanaazhar</t>
  </si>
  <si>
    <t>https://drive.google.com/open?id=1_vYsIY0lCvQpcuO5uS_2K-TXBlSSqBrX</t>
  </si>
  <si>
    <t>https://drive.google.com/open?id=1QUXzmzhFIkeuh3tx6wXf69JhEbaA4XbR</t>
  </si>
  <si>
    <t>https://drive.google.com/open?id=1tMsPsxSXGop8UG0YiFBdTWM8dfSTTQzE</t>
  </si>
  <si>
    <t>https://drive.google.com/open?id=1TqrWtW1a8hXHtVIV_RXY3gO6sTYSy5Vr</t>
  </si>
  <si>
    <t>Momcozy V1 pro</t>
  </si>
  <si>
    <t>https://drive.google.com/open?id=1Y2qs3VYXA6vG4uazp7EHrTwlJhPEkQGz</t>
  </si>
  <si>
    <t>https://drive.google.com/open?id=1J1e7qZOA2WrPVbfRX9lMDn3EFVyitVvN</t>
  </si>
  <si>
    <t>https://drive.google.com/open?id=1mPzWbpqKgjFC-P6qOgw4CvvONTtFYiGO</t>
  </si>
  <si>
    <t>https://drive.google.com/open?id=19_uat7l3tEzCGEghtZhzYNPzXlhQRHMZ</t>
  </si>
  <si>
    <t>Siti Sadiah</t>
  </si>
  <si>
    <t>089505995694</t>
  </si>
  <si>
    <t xml:space="preserve">Ega Maulana </t>
  </si>
  <si>
    <t>+62 812-1915-7326</t>
  </si>
  <si>
    <t>kp margasari no 71</t>
  </si>
  <si>
    <t>Kp Margasari, Jalan Margasari, Kp Margasari, Curug</t>
  </si>
  <si>
    <t>Omni</t>
  </si>
  <si>
    <t>Sitsadiahh</t>
  </si>
  <si>
    <t>https://drive.google.com/open?id=1ZR8Vg9YsTp2luW52fzgi-rZzHUW6NZYU</t>
  </si>
  <si>
    <t>https://drive.google.com/open?id=1h476OZxPp_W3qBrZQzt5DYkQqDayDSPR</t>
  </si>
  <si>
    <t>https://drive.google.com/open?id=1W8X1OamCu6VQhAmbDRMsnEJhHd8XT2fT</t>
  </si>
  <si>
    <t>https://drive.google.com/open?id=1lrqv-kFWP_50xYfBaG_cqRKSvppKVFuy</t>
  </si>
  <si>
    <t>Lira Kurnia</t>
  </si>
  <si>
    <t>087888858207</t>
  </si>
  <si>
    <t>Muhammad Yusuf Renggana</t>
  </si>
  <si>
    <t>087872528912</t>
  </si>
  <si>
    <t>Komplek uniliver, blok e/13 rt 003/006</t>
  </si>
  <si>
    <t>RSU Bhakti Asih</t>
  </si>
  <si>
    <t>lirakurnia</t>
  </si>
  <si>
    <t>https://drive.google.com/open?id=13Rsog9UQ2eckMh6w0w-qfRrR3iv9NFIt</t>
  </si>
  <si>
    <t>https://drive.google.com/open?id=1yM1ynOzjTY3sxOujSbLgR6kGva21Rdku</t>
  </si>
  <si>
    <t>https://drive.google.com/open?id=1cP5haf9ByvHwW8-KtiLCrEBAe-0ABUP5</t>
  </si>
  <si>
    <t>https://drive.google.com/open?id=1ZN60G-wFV18Xn6-8IY1FIPgwkiMjFQml</t>
  </si>
  <si>
    <t>Syarifah Vida Nabila A</t>
  </si>
  <si>
    <t>085158011300</t>
  </si>
  <si>
    <t>Alif Ankadhitra NRN</t>
  </si>
  <si>
    <t>082299380764</t>
  </si>
  <si>
    <t>Palem Bintaro G3 no 11 Pondok Aren, Kota Tangerang Selatan.</t>
  </si>
  <si>
    <t>Vidanabilas</t>
  </si>
  <si>
    <t>https://drive.google.com/open?id=1u9XBLD-TUlDtklYkVpl_oEdntVnaR2IL</t>
  </si>
  <si>
    <t>https://drive.google.com/open?id=1CkCmvxxY1xDrH270sbrRD-HIygLtIMsT</t>
  </si>
  <si>
    <t>https://drive.google.com/open?id=1srK_4PiJewI49SBVbYP1_7mekJ3nIOzW</t>
  </si>
  <si>
    <t>https://drive.google.com/open?id=1oD9iX6hRopANL0Jngt11SspbATbWu3vP</t>
  </si>
  <si>
    <t>Pramitha Ayunda Hanifah</t>
  </si>
  <si>
    <t>082210095488</t>
  </si>
  <si>
    <t>Rilo Bagas Herlambang</t>
  </si>
  <si>
    <t>081215499097</t>
  </si>
  <si>
    <t>Villa Rizki Ilhami Blok D1 No. 14, Bojong Nangka, Kelapa Dua, Kab. Tangerang</t>
  </si>
  <si>
    <t>Mom Uung Portable &amp; Momcozy V1 Pro</t>
  </si>
  <si>
    <t>pram.tha</t>
  </si>
  <si>
    <t>https://drive.google.com/open?id=1N4Yhny2c-w3xW6QPFcveoa7Pm7O2Mz7C</t>
  </si>
  <si>
    <t>https://drive.google.com/open?id=1L1KTh0t3u-rutvl1k999Bi7vd_VHJxr7</t>
  </si>
  <si>
    <t>https://drive.google.com/open?id=1sSS58DeUhN9knqrm841S2iT2j3Se8EOB</t>
  </si>
  <si>
    <t>Booking 22 maret</t>
  </si>
  <si>
    <t>Green palm jl kresek</t>
  </si>
  <si>
    <t>Perumahan interkota a4 no 40</t>
  </si>
  <si>
    <t>Momcozy M9</t>
  </si>
  <si>
    <t>https://drive.google.com/open?id=188lS4jZsFJcYcfPJe20YMyDUo_zxo5J0</t>
  </si>
  <si>
    <t>https://drive.google.com/open?id=1b_S2gkq9OL_Wswu3Xr61j9t_Rq9BTnZC</t>
  </si>
  <si>
    <t>https://drive.google.com/open?id=12T7wAXZLu302__cDHL7HAtCzCpP1EJqr</t>
  </si>
  <si>
    <t>https://drive.google.com/open?id=1btRgQwoz5_Xs2mFFun5tnrICAyLcTmMs</t>
  </si>
  <si>
    <t>Meilisa</t>
  </si>
  <si>
    <t>082112696229</t>
  </si>
  <si>
    <t>Tedy tanu putra</t>
  </si>
  <si>
    <t>081297521122</t>
  </si>
  <si>
    <t>Kav polri blok d14/1189 rt002 rw001 jelambar jakarta barat 11460</t>
  </si>
  <si>
    <t>Mela_sasa</t>
  </si>
  <si>
    <t>https://drive.google.com/open?id=15XSlYaxtf4qiEc9iEbL_bKrBiRfP8ZYQ</t>
  </si>
  <si>
    <t>https://drive.google.com/open?id=14NWDyj6UX8WMRAzifiKSm88PYkHscsD5</t>
  </si>
  <si>
    <t>https://drive.google.com/open?id=1XRjxs5N63YK46dz6b2C-7FbftS68w9xd</t>
  </si>
  <si>
    <t>Putri Calista R.</t>
  </si>
  <si>
    <t>085881486179</t>
  </si>
  <si>
    <t>Abeth Kastara P.</t>
  </si>
  <si>
    <t>082176867139</t>
  </si>
  <si>
    <t>GUDANG PELURU BLOK NO.227, 228</t>
  </si>
  <si>
    <t>Jl gudang peluru barat, blok A no.53
12830</t>
  </si>
  <si>
    <t>Momcozy v1 Pro</t>
  </si>
  <si>
    <t>Ntapsjeng</t>
  </si>
  <si>
    <t>https://drive.google.com/open?id=1dVVhCoEDvX07QXD9UtfvgitxMIK29eo2</t>
  </si>
  <si>
    <t>https://drive.google.com/open?id=139NOBy379cgY3NZLqLl86j5VdveFS_JM</t>
  </si>
  <si>
    <t>https://drive.google.com/open?id=1Z9ubfv6nfQeyVe5jrWJvTSROHgGADSr3</t>
  </si>
  <si>
    <t>https://drive.google.com/open?id=1cH4qvAhYAYYR1LWEwh_UrrKsCgUthlCs</t>
  </si>
  <si>
    <t>Anggie Efanda</t>
  </si>
  <si>
    <t>085217176527</t>
  </si>
  <si>
    <t>Dimas Muryanto</t>
  </si>
  <si>
    <t>0858-9030-7807</t>
  </si>
  <si>
    <t>Perumahan KTW Taman Duta Blok D24 No.8, Bahagia, Babelan, Kab. Bekasi, Jawa Barat, 17612</t>
  </si>
  <si>
    <t>anggieefnd</t>
  </si>
  <si>
    <t>https://drive.google.com/open?id=1N5sAI1CmTXnos8_Nci5vYdizPx-GeDB8</t>
  </si>
  <si>
    <t>https://drive.google.com/open?id=1TpS-13xxoraQy3p8MnfgSXoLb8V8JxB7</t>
  </si>
  <si>
    <t>https://drive.google.com/open?id=1yNWmi4rSnaoIfzLyDpun0ie8oA-Q8FB1</t>
  </si>
  <si>
    <t>https://drive.google.com/open?id=1Gy_PepF0xolpLlNWsVkOk4TS1TSQnfvV</t>
  </si>
  <si>
    <t>Nikewati fransisca</t>
  </si>
  <si>
    <t>085606403211</t>
  </si>
  <si>
    <t>Dochlas panjaitan</t>
  </si>
  <si>
    <t>0813290658513</t>
  </si>
  <si>
    <t>Jl Gelora 3 Blok G6 no 1 cipondoh makmur kota tangerang</t>
  </si>
  <si>
    <t>Jl Gelora 3 Blok G6 No 1 Cipondoh Makmur Kota Tangerang</t>
  </si>
  <si>
    <t>Nil</t>
  </si>
  <si>
    <t>https://drive.google.com/open?id=1wlX_vs3sTE0-WRIEPvNpCvE-PRVY1zGd</t>
  </si>
  <si>
    <t>https://drive.google.com/open?id=1wPaDn9ayhI01BiOc9k6w40yA9zHmQ4HM</t>
  </si>
  <si>
    <t>https://drive.google.com/open?id=1zRRhvk6owQBokvuBj37L1sQGBeDaasxk</t>
  </si>
  <si>
    <t>Devi witasari</t>
  </si>
  <si>
    <t>081905323381</t>
  </si>
  <si>
    <t>Aditia mulya sebastian</t>
  </si>
  <si>
    <t>081298419249</t>
  </si>
  <si>
    <t>Jl tosiga xi dalam no.84A rt05/rw12 Kebon Jeruk Jakarta Barat 11530</t>
  </si>
  <si>
    <t>Deviwitasr</t>
  </si>
  <si>
    <t>https://drive.google.com/open?id=1ZWuZ3WziuhtjiO_MOFS36neFPGbtSdvl</t>
  </si>
  <si>
    <t>https://drive.google.com/open?id=1sBvcXS3I-Lx8LsLwt_rvrlhgT5JsY80z</t>
  </si>
  <si>
    <t>https://drive.google.com/open?id=1CWH23mELipesNnzORU_37Jtxtez_8G9D</t>
  </si>
  <si>
    <t>https://drive.google.com/open?id=1iL0VTlhvLjAMKC5ro-v4oZgKjgxsG24F</t>
  </si>
  <si>
    <t xml:space="preserve">Sindy Novianti </t>
  </si>
  <si>
    <t>Mufasirudin</t>
  </si>
  <si>
    <t>Jl cimone 001/009 kel.cimone kec. karawaci kota tangerang</t>
  </si>
  <si>
    <t>Jl proklamasi no 33 cimone jaya karawaci kota tangerang</t>
  </si>
  <si>
    <t>Sndy.nv</t>
  </si>
  <si>
    <t>https://drive.google.com/open?id=16x91RuyBL_2fqDV1ZaC8Ezl3rW6Jjd2d</t>
  </si>
  <si>
    <t>https://drive.google.com/open?id=1CXoq6LbBiLl04tA4sbPy8sRyD-hbCRQy</t>
  </si>
  <si>
    <t>https://drive.google.com/open?id=1MNB3GkC3nAjOfhWwjWR3qxllSBPcRkIy</t>
  </si>
  <si>
    <t>https://drive.google.com/open?id=1Kg5hdxmpr7sXCkFH6vaUsRkQpVwFIxRs</t>
  </si>
  <si>
    <t>Pratamanita utami rahayu</t>
  </si>
  <si>
    <t>087879945888</t>
  </si>
  <si>
    <t>Wisnhu angga saputra</t>
  </si>
  <si>
    <t>+62 822-5252-5495</t>
  </si>
  <si>
    <t>jalan yusuf no 8A, RT 004/RW011, kel. Sukabumi utara, kec. Kebon jeruk, jakarta barat</t>
  </si>
  <si>
    <t>@tami.pratamanita</t>
  </si>
  <si>
    <t>https://drive.google.com/open?id=1rMHy3Lx0N0RIkDBx2jpU8l8tAQgcXFIY</t>
  </si>
  <si>
    <t>https://drive.google.com/open?id=18lbkUCN-_GpvrbiVAPLXXVJYQGqYtV1e</t>
  </si>
  <si>
    <t>https://drive.google.com/open?id=1_rUjkoQ6LgCplT3EHVuJK98wFyIdrvq3</t>
  </si>
  <si>
    <t>https://drive.google.com/open?id=1adwb3eUj7IVaCrByf-Q426aproU2BU39</t>
  </si>
  <si>
    <t>Selvia Yuanita</t>
  </si>
  <si>
    <t>087782500327</t>
  </si>
  <si>
    <t>Taupek</t>
  </si>
  <si>
    <t>+62 853-7466-1126</t>
  </si>
  <si>
    <t>Jl. MH Thamrin No.97 Kb Nanas, Cikokol, Tangerang</t>
  </si>
  <si>
    <t>selviayyy</t>
  </si>
  <si>
    <t>https://drive.google.com/open?id=1lkYD2F4vB6cZJ75Q6HBuMV46qb5R1vXQ</t>
  </si>
  <si>
    <t>https://drive.google.com/open?id=1RrkO4vXQ66em2-574AM8wOftLQRZ4c8D</t>
  </si>
  <si>
    <t>https://drive.google.com/open?id=1uJh9c9GnAK6ng6AhwFe--3UvZl-M7DbR</t>
  </si>
  <si>
    <t>https://drive.google.com/open?id=1JKwxVFC0cCDzSbhF9fRelpQ5_kV8L-2P</t>
  </si>
  <si>
    <t>Kav polri blok d14/1189</t>
  </si>
  <si>
    <t>Omni handsfree</t>
  </si>
  <si>
    <t>Mels_sasa</t>
  </si>
  <si>
    <t>https://drive.google.com/open?id=1Cg86uahB1uBOiKdXmvdItkMnfrPy1Rha</t>
  </si>
  <si>
    <t>https://drive.google.com/open?id=17KCfhpySoijedqHNhO3eok3hwC43UKSs</t>
  </si>
  <si>
    <t>https://drive.google.com/open?id=1rsNaMgDLx0rFcnISiWYiSJVm9Y0XxNCE</t>
  </si>
  <si>
    <t>Farah Pramadhani</t>
  </si>
  <si>
    <t>08568755458</t>
  </si>
  <si>
    <t>Rifqi Fadhlurrahman</t>
  </si>
  <si>
    <t>085350551991</t>
  </si>
  <si>
    <t>Pulo Gebang Permai Blok F6/14 Jkt Timur</t>
  </si>
  <si>
    <t>Thamrin Residence, Tower E (Lt. 20 Unit EA) Jkt Pusat</t>
  </si>
  <si>
    <t>farahprmdhn</t>
  </si>
  <si>
    <t>https://drive.google.com/open?id=1k70RcyOtRQ0tRwg0xY1Gg5P2sLQI8PLw</t>
  </si>
  <si>
    <t>https://drive.google.com/open?id=1l_2bTC0DQfUHMUNFDU9kw6zgHUuc8upd</t>
  </si>
  <si>
    <t>https://drive.google.com/open?id=1L7MqFpy18viLXDqdy0wVeJuDjhjW17gx</t>
  </si>
  <si>
    <t>Booking 20 april</t>
  </si>
  <si>
    <t>spectra dual s</t>
  </si>
  <si>
    <t>https://drive.google.com/open?id=1EdEhCnsrfLbBPh1mcSgvLQkSXqEQ9lJb</t>
  </si>
  <si>
    <t>https://drive.google.com/open?id=1-IseqobqROzcFNLhUSpKdq1nmBIqeJAe</t>
  </si>
  <si>
    <t>https://drive.google.com/open?id=1Q2RihUwgOUNjg-lrajIgssaoYbrrl1zD</t>
  </si>
  <si>
    <t>https://drive.google.com/open?id=11vyhDny681P1wcNYcGXAtzCP2DnleHqP</t>
  </si>
  <si>
    <t>Wuri Septiarti</t>
  </si>
  <si>
    <t>081282912508</t>
  </si>
  <si>
    <t>Taufik Saputra</t>
  </si>
  <si>
    <t>081381854840</t>
  </si>
  <si>
    <t xml:space="preserve">Pondok Ungu Permai, Sektor V, Blok O1 No. 38 RT. 005 RW. 027 Kel. Bahagia Kec. Babelan </t>
  </si>
  <si>
    <t>wuriseptiarrr</t>
  </si>
  <si>
    <t>https://drive.google.com/open?id=1iJUd9ordIRt4-xoKE-ST7_CXJ2C_GJga</t>
  </si>
  <si>
    <t>https://drive.google.com/open?id=17IjYRI22Dz9nSvHcGXtPtG0o9BXPLBmC</t>
  </si>
  <si>
    <t>https://drive.google.com/open?id=1ZHxOLekpBXZF62-wJdaexNs_lUIiUZq5</t>
  </si>
  <si>
    <t>https://drive.google.com/open?id=1T2vkGvXIKjtRiQEetgCIpGzD8jtFCqq3</t>
  </si>
  <si>
    <t>Alif Ankadhitra NRn</t>
  </si>
  <si>
    <t>+62 822-9938-0764</t>
  </si>
  <si>
    <t>Palem Bintaro Blok G3 no 11</t>
  </si>
  <si>
    <t>Palem Bintaro blok G3 no 11</t>
  </si>
  <si>
    <t xml:space="preserve">Mooimom X1 </t>
  </si>
  <si>
    <t>Vidanabulas</t>
  </si>
  <si>
    <t>https://drive.google.com/open?id=1O49kNQK-qHe4WbPC7nrqTM5K4QvGSLrD</t>
  </si>
  <si>
    <t>https://drive.google.com/open?id=1RCKn9acWsTTaLVU6j9W-ZABXm5L83auP</t>
  </si>
  <si>
    <t>https://drive.google.com/open?id=1VcaKE_66HYESiIad5GXwOj45QFujIAOe</t>
  </si>
  <si>
    <t>Salsabila Saniyya Abida</t>
  </si>
  <si>
    <t>082111820328</t>
  </si>
  <si>
    <t>M Razzie Prima Amien</t>
  </si>
  <si>
    <t>Avicenna Residence, Blk. E No.3,Ragajaya, Kecamatan Bojonggede, Kabupaten Bogor, Jawa Barat 16920</t>
  </si>
  <si>
    <t>1 mom uung handsfree dan 1 mooimom m3 pro</t>
  </si>
  <si>
    <t>saniyyaabida</t>
  </si>
  <si>
    <t>https://drive.google.com/open?id=1MU0ftDalJn2QZObeentNUzTwQl0BBj3K</t>
  </si>
  <si>
    <t>https://drive.google.com/open?id=18jQ1ntgg4YwZCOioRQlbv_ktvN3uowly</t>
  </si>
  <si>
    <t>https://drive.google.com/open?id=1whMECUBsAQi-XE8nI007RxpUyYn5IYYp</t>
  </si>
  <si>
    <t>https://drive.google.com/open?id=1tU6bMAQOMbJM42lZkP51G0U2AUKrPyx_</t>
  </si>
  <si>
    <t>Adrian Salim</t>
  </si>
  <si>
    <t>081298004400</t>
  </si>
  <si>
    <t>https://drive.google.com/open?id=12iez3R8g9QyfZ-vTZBUhSo1VJUaUIbFU</t>
  </si>
  <si>
    <t>https://drive.google.com/open?id=10L6YWlMyi22vsQnSe3blC6hrLJ1Th60I</t>
  </si>
  <si>
    <t>https://drive.google.com/open?id=1pZKIGHjmONiPUM-FLXXWwLjXuTY2DcAp</t>
  </si>
  <si>
    <t xml:space="preserve">Christine </t>
  </si>
  <si>
    <t>082152698914</t>
  </si>
  <si>
    <t>Muhammad regi</t>
  </si>
  <si>
    <t>081314835492</t>
  </si>
  <si>
    <t>Laverde cluster lunaire d2/16</t>
  </si>
  <si>
    <t>M3 pro</t>
  </si>
  <si>
    <t xml:space="preserve">Christinesugandi </t>
  </si>
  <si>
    <t>https://drive.google.com/open?id=1n59W1XKwxomCJLUpEQymcWMEnjdNRSjq</t>
  </si>
  <si>
    <t>https://drive.google.com/open?id=1isqf7XsuLjNofcbEnM-kMfx02r7egwdn</t>
  </si>
  <si>
    <t>https://drive.google.com/open?id=1S6INXj0MvD81VwNcHNaxqcCvnPvxj385</t>
  </si>
  <si>
    <t>https://drive.google.com/open?id=1nSCYM_-Kmaf60IN5u9ofCOErKI7VKz-k</t>
  </si>
  <si>
    <t>ADELIA PUTRI SILOWATI</t>
  </si>
  <si>
    <t>085889525866</t>
  </si>
  <si>
    <t>YOGA HIDAYATUR RAHMAN</t>
  </si>
  <si>
    <t>082297205876</t>
  </si>
  <si>
    <t>CLUSTER PESONA PARAHYANGAN BLOK PM 2</t>
  </si>
  <si>
    <t>VILLA TOMANG BARU JL HALIMUN BLOK H2 NO 58 KEC. PASAR KEMIS KEL. GELAM JAYA</t>
  </si>
  <si>
    <t>mattchawluvv</t>
  </si>
  <si>
    <t>https://drive.google.com/open?id=1rSvcrEHZd1IJzbKae7BNEPbrmY--cS-S</t>
  </si>
  <si>
    <t>https://drive.google.com/open?id=10jalMQCoGhFka9SrOLVLnWsa9Ve9I3Ff</t>
  </si>
  <si>
    <t>https://drive.google.com/open?id=1JxjOlwomrqDYd5w5SfpiDxd5_coImML0</t>
  </si>
  <si>
    <t>https://drive.google.com/open?id=1GXlhiUAROdO45DmUq1R1iYV2FvzDXYTU</t>
  </si>
  <si>
    <t>Ade Irma Desiana</t>
  </si>
  <si>
    <t>089699504838</t>
  </si>
  <si>
    <t>Paulus</t>
  </si>
  <si>
    <t>+62 815-1447-5388</t>
  </si>
  <si>
    <t>Jalan Q1 blok GG no 7E. RT10 RW 4. Duri Kepa, kebon jeruk, Jakarta Barat</t>
  </si>
  <si>
    <t>Adirdesi</t>
  </si>
  <si>
    <t>https://drive.google.com/open?id=1qn_bu-xeBwlI9Dtv3T8jB99erKKporR7</t>
  </si>
  <si>
    <t>https://drive.google.com/open?id=1TO7Ulr2Xdh_MT8MC1uQBLvCE3xU-J-6s</t>
  </si>
  <si>
    <t>https://drive.google.com/open?id=1kVJUXc_HHTSNOWMFCsJYh67WGJor4uov</t>
  </si>
  <si>
    <t xml:space="preserve">Ayu Julaiha </t>
  </si>
  <si>
    <t>081219616058</t>
  </si>
  <si>
    <t xml:space="preserve">Muhammad Reza Batubara </t>
  </si>
  <si>
    <t>081290519139</t>
  </si>
  <si>
    <t>Jl. Pembukaan 2 Blok SS No.14 RT.01 RW.04 Kel.Wijaya Kusuma kec.Grogol Petamburan Jakarta Barat</t>
  </si>
  <si>
    <t>ayujulaiha</t>
  </si>
  <si>
    <t>https://drive.google.com/open?id=1UVInBl7mDUq4egp01cA4Ij3UQ6GKAmDa</t>
  </si>
  <si>
    <t>https://drive.google.com/open?id=1CLrOxLe_1XAdUs1EHAS7Lxibml7jn3T0</t>
  </si>
  <si>
    <t>https://drive.google.com/open?id=1p1U7loxww3MXo04ZkoSPgEVBss_dBnc6</t>
  </si>
  <si>
    <t>https://drive.google.com/open?id=1uOdQa7TnILIIyLqail2lzatnkYwrfz0a</t>
  </si>
  <si>
    <t>Arifah Insa</t>
  </si>
  <si>
    <t>085731711217</t>
  </si>
  <si>
    <t>Ilham Haris</t>
  </si>
  <si>
    <t>+62 812-8591-2992</t>
  </si>
  <si>
    <t>Perum. Bumi Asri blok D13 No. 25 Kotabumi, Pasarkemis, Tangerang</t>
  </si>
  <si>
    <t>Gabag Maximo Handsfree</t>
  </si>
  <si>
    <t>arifahinsaaaa</t>
  </si>
  <si>
    <t>https://drive.google.com/open?id=19_We-RZQsL4KDK6vw-_-A2gwaNVmjS_t</t>
  </si>
  <si>
    <t>https://drive.google.com/open?id=1xxuWcokWb5gfHd-Sn0fC_HLpNvBMe2uF</t>
  </si>
  <si>
    <t>https://drive.google.com/open?id=1TVNEzmeW53dB_jvdXpDCyBZZi1PRO6-9</t>
  </si>
  <si>
    <t>https://drive.google.com/open?id=1HLIvwrUHiWG865y0vkMWeZKGAF1hG91M</t>
  </si>
  <si>
    <t>082252525495</t>
  </si>
  <si>
    <t>Jakarta barat</t>
  </si>
  <si>
    <t>https://drive.google.com/open?id=1gyps8fekvJ_9y2PHPod3MXCrhFbtOML-</t>
  </si>
  <si>
    <t>https://drive.google.com/open?id=1qwJmnVmPOWrclxveir4fUmZuBCKPEQVs</t>
  </si>
  <si>
    <t>https://drive.google.com/open?id=1Iq_uplfYZC7j6Ag8tnLz5CxuKnHUHkcg</t>
  </si>
  <si>
    <t>https://drive.google.com/open?id=12jB4xCBN27VRSzpIri98eeo2YyUr2oqP</t>
  </si>
  <si>
    <t>Dian fransiska ghozali</t>
  </si>
  <si>
    <t>082294940260</t>
  </si>
  <si>
    <t>David indra sakti piliang</t>
  </si>
  <si>
    <t>085952901024</t>
  </si>
  <si>
    <t>Grand batavia spring GBS 02/10 , sindangsari, pasar kemis, kab. Tangerang</t>
  </si>
  <si>
    <t>diangabriellaghozali</t>
  </si>
  <si>
    <t>https://drive.google.com/open?id=1YYOl-nwJLfOnKz5Mbpr1xp7CpMGIDyJy</t>
  </si>
  <si>
    <t>https://drive.google.com/open?id=10IwwVpt2lqRhpyGNch4YbZ7WwxAM9834</t>
  </si>
  <si>
    <t>https://drive.google.com/open?id=1FBQnXLEypQh8Fm-fZTfXZ5dfFW5XNV1t</t>
  </si>
  <si>
    <t>https://drive.google.com/open?id=1sTIQIoz2jF6DVwMKbOZRrL3Ooi5U9a7S</t>
  </si>
  <si>
    <t>Salsabilla Anggraini</t>
  </si>
  <si>
    <t>085714571066</t>
  </si>
  <si>
    <t>Khusnan Fajar</t>
  </si>
  <si>
    <t>+62 858-9601-2475</t>
  </si>
  <si>
    <t>Komplek pondok bahar permai blok D6.29 Rt/Rw 04/04 kel. Pondok bahar kec. Karang tengah Kota tangerang</t>
  </si>
  <si>
    <t>Salsabillaangr_</t>
  </si>
  <si>
    <t>https://drive.google.com/open?id=1vQIxl94cmrnKH7WzG3Tbh6snMBQXPfn3</t>
  </si>
  <si>
    <t>https://drive.google.com/open?id=1re4LayFaDxbYaBzOkiuEuUNNekJEVZMP</t>
  </si>
  <si>
    <t>https://drive.google.com/open?id=1fouHEfKdIKsdMsOiHxZtHqQmXCA6QZBV</t>
  </si>
  <si>
    <t>Angela Agustini Wibowo</t>
  </si>
  <si>
    <t>08978653512</t>
  </si>
  <si>
    <t>Giomelando Eurichi Elaman</t>
  </si>
  <si>
    <t>+62 852-1161-0400</t>
  </si>
  <si>
    <t>Springhill Yume Lagoon, Jalan Raya Cisauk, Suradita, Cisauk BLOK B 8 NO 12</t>
  </si>
  <si>
    <t>Medela double pump</t>
  </si>
  <si>
    <t>angelaagustini</t>
  </si>
  <si>
    <t>https://drive.google.com/open?id=1iWP_aL704XFFW_3MHt9o3Z_6mBa5fbmG</t>
  </si>
  <si>
    <t>https://drive.google.com/open?id=1JKGfqkRs6IVXoP6OE6xR7lfxZpvBjBC1</t>
  </si>
  <si>
    <t>https://drive.google.com/open?id=1XeD2bMUtA8-Y9QtZNuP6s9Hf1FIhVEwG</t>
  </si>
  <si>
    <t>https://drive.google.com/open?id=1C0lI3xRzeofG1VUGvu9Jkiht6o5Rafse</t>
  </si>
  <si>
    <t xml:space="preserve">Agatha Kiki Adeliaputri </t>
  </si>
  <si>
    <t>081235703579</t>
  </si>
  <si>
    <t>Ruben gading</t>
  </si>
  <si>
    <t>+62 877 37857837</t>
  </si>
  <si>
    <t>Jl dahlia raya blok T no 2, kemang pratama 2, bojong rawalumbu, rawalumbu, bekasi</t>
  </si>
  <si>
    <t>SEWA MEDELA SWING MAXI HANDSFREE (DILARANG CHECK OUT SEBELUM CHAT)</t>
  </si>
  <si>
    <t>Agathakikii</t>
  </si>
  <si>
    <t>https://drive.google.com/open?id=1bWmauqOxXq6J2dINHbd120uZ2s9bcUtq</t>
  </si>
  <si>
    <t>https://drive.google.com/open?id=1IuQMuSmjyYDDid8XzcVPaf2Dme-elhXp</t>
  </si>
  <si>
    <t>https://drive.google.com/open?id=1Wh3YhrKC42ghCnhOHxPjegPwZKlBqOEp</t>
  </si>
  <si>
    <t>https://drive.google.com/open?id=1j9qGtupxKRGsJT16J4OQdVN_Xo6gsM8i</t>
  </si>
  <si>
    <t>Booking kapanpun available</t>
  </si>
  <si>
    <t>Yanuari Dewi Siswanto</t>
  </si>
  <si>
    <t>087887034902</t>
  </si>
  <si>
    <t>Claudio Antonius</t>
  </si>
  <si>
    <t>087787772067</t>
  </si>
  <si>
    <t>Jl. Tanah Sereal VI B No. 28, Tambora, Jakarta Barat</t>
  </si>
  <si>
    <t>Pompa Asi Momabae Omni S+</t>
  </si>
  <si>
    <t>@yanuariagnes</t>
  </si>
  <si>
    <t>https://drive.google.com/open?id=1KjcvoShQsO-bcPc1VGYZq_nSZE2wjHU2</t>
  </si>
  <si>
    <t>https://drive.google.com/open?id=1hjcMK3FAif2I6r_nutL3rnC2nChvMwni</t>
  </si>
  <si>
    <t>https://drive.google.com/open?id=1jxAObz8_IkM5uK5IdOD61XwmuvH9RUeu</t>
  </si>
  <si>
    <t>https://drive.google.com/open?id=1nbwQGPq82n4ZyFCc3SNuGzz7z7jsUdTH</t>
  </si>
  <si>
    <t>Anggun Prapaningsih</t>
  </si>
  <si>
    <t>087809122429</t>
  </si>
  <si>
    <t>Arif Budiyanto</t>
  </si>
  <si>
    <t>+62 896-7075-7227</t>
  </si>
  <si>
    <t>Perumahan Griya Satwika Telkom
Blok C3 No. 22, RT 05 / RW 14, Kelurahan Pisangan, Kecamatan Ciputat Timur, Kota Tangerang Selatan, Banten 15419</t>
  </si>
  <si>
    <t>Momcozy V2 pro</t>
  </si>
  <si>
    <t>@anggunprapta</t>
  </si>
  <si>
    <t>https://drive.google.com/open?id=1PBmZZMwC8Y2kLYWwZ6nkxtmyS1WJtixF</t>
  </si>
  <si>
    <t>https://drive.google.com/open?id=1EAnzv3DBLt-H8lHwq1Ih-LqRpGgfUxlo</t>
  </si>
  <si>
    <t>https://drive.google.com/open?id=1o7DSfW1jA0Q00AGve_1vr0-E7q5YpZh7</t>
  </si>
  <si>
    <t>https://drive.google.com/open?id=1jfxoy3-yxGI15I04EsbcrHm3f7F30IQX</t>
  </si>
  <si>
    <t>Nadia Eka Syahputri</t>
  </si>
  <si>
    <t>08117001096</t>
  </si>
  <si>
    <t>Muhammad Fadhil Aditya</t>
  </si>
  <si>
    <t>081388253584</t>
  </si>
  <si>
    <t>Jl. Akasia II No. 85A, Cengkareng Timur, Cengkareng, Jakarta Barat</t>
  </si>
  <si>
    <t>nadiaekas</t>
  </si>
  <si>
    <t>https://drive.google.com/open?id=1TT_Q52Gprp8kBD1SJDcVBng6DCdN3aYB</t>
  </si>
  <si>
    <t>https://drive.google.com/open?id=1CCd463eOPFwBid4PtiXQ2JEasqLA7Cog</t>
  </si>
  <si>
    <t>https://drive.google.com/open?id=1LGyE8bZqnNYSEl1DrK7DkY9IevsW908Q</t>
  </si>
  <si>
    <t>https://drive.google.com/open?id=1ZULM-y0fdS6tYqH7RmPkGeJC7ay8HsRV</t>
  </si>
  <si>
    <t>https://drive.google.com/open?id=19vbchls4QRt64NRICgY0l20TOsWFDqy7</t>
  </si>
  <si>
    <t>https://drive.google.com/open?id=19lyjzkR9-J7ZBAxIrmXXYVXFM5lZZm6d</t>
  </si>
  <si>
    <t>Dilla Salsabilla</t>
  </si>
  <si>
    <t>081221647904</t>
  </si>
  <si>
    <t>Yovan Fauzan Adzima</t>
  </si>
  <si>
    <t>081336488672</t>
  </si>
  <si>
    <t>Sawangan Greenpark</t>
  </si>
  <si>
    <t>PNM RESIDENT 
Jl. Raya Curug RT 002 RW 004 No. 12 A Kel. Curug Kec. Bojong Sari, Kota Depok - Jawabarat</t>
  </si>
  <si>
    <t xml:space="preserve">Momabae Comapct S+ </t>
  </si>
  <si>
    <t>Dillasalsabillaputri</t>
  </si>
  <si>
    <t>https://drive.google.com/open?id=1o8IWW7syZ5bXbxnjooFCEUVVEL8Jtuwx</t>
  </si>
  <si>
    <t>https://drive.google.com/open?id=15KawbB5bG5YQWZ42-UyTBGTSA284zeoo</t>
  </si>
  <si>
    <t>https://drive.google.com/open?id=1El4fwc_rejxsE3f0tceiWA_Tkk13iysm</t>
  </si>
  <si>
    <t>https://drive.google.com/open?id=1BBPNBpg8bkBLQPNPyMH417L49v7hJfX6</t>
  </si>
  <si>
    <t>Ein krisna ardianti</t>
  </si>
  <si>
    <t>081998335363</t>
  </si>
  <si>
    <t>Dede hendrawan</t>
  </si>
  <si>
    <t>+62 812-3678-8052</t>
  </si>
  <si>
    <t>Bali</t>
  </si>
  <si>
    <t>Perum giri asri gag VI blok G 14, kuta selatan, bali</t>
  </si>
  <si>
    <t>V2 pro mom cozy</t>
  </si>
  <si>
    <t>Einardianti</t>
  </si>
  <si>
    <t>https://drive.google.com/open?id=1ynxugMm_LnF_RHD1HdId42wY5dXVZH5_</t>
  </si>
  <si>
    <t>https://drive.google.com/open?id=1GiZ_YVLCh1qYsSD-IX5gl5JZoMB4TjhT</t>
  </si>
  <si>
    <t>https://drive.google.com/open?id=1Fk8U-6HlOos5tjZQADsN4j1g2k8qqkMp</t>
  </si>
  <si>
    <t>Cahayaning Fajarwati</t>
  </si>
  <si>
    <t>081390800869</t>
  </si>
  <si>
    <t>Ikhsan Bayu Nugroho</t>
  </si>
  <si>
    <t>081931247257</t>
  </si>
  <si>
    <t>Pakintelan 001/003, Desa Tambakrejo, Kecamatan Patebon, Kabupaten Kendal</t>
  </si>
  <si>
    <t>Pompa asi momcozy V2 pro</t>
  </si>
  <si>
    <t>@fjrwt__</t>
  </si>
  <si>
    <t>https://drive.google.com/open?id=1dWqhN-OLhuEinQ3Wnli1mnRy4EuUgHAg</t>
  </si>
  <si>
    <t>https://drive.google.com/open?id=1TVqVq7O4kvKuQ7NUdSZx5zbl3XE-EIyZ</t>
  </si>
  <si>
    <t>https://drive.google.com/open?id=1KHec4MDClCXTTLdmznOynRipjsx3OzYc</t>
  </si>
  <si>
    <t>https://drive.google.com/open?id=10ZT7qxTDF46dK0b9kVlXxhFQHxcU-2vC</t>
  </si>
  <si>
    <t>Booking 25 mei</t>
  </si>
  <si>
    <t>Ni Nyoman Dewi Prabandari</t>
  </si>
  <si>
    <t>087861789296</t>
  </si>
  <si>
    <t>Dian kamajaya</t>
  </si>
  <si>
    <t>+62 859-3455-2687</t>
  </si>
  <si>
    <t>Jl. Nusa indah gang 2 no. 2, sumerta, Denpasar timur</t>
  </si>
  <si>
    <t xml:space="preserve">Jl. Nusa indah gang 2 no. 2, sumerta, Denpasar timur (rumah di pojokan sebelah nasi be manis) </t>
  </si>
  <si>
    <t>Medela handsfree cup</t>
  </si>
  <si>
    <t>Dewii_prabandari</t>
  </si>
  <si>
    <t>https://drive.google.com/open?id=1-vUdpmanIyAJlKeD-mCjYvE3gU9u7dfu</t>
  </si>
  <si>
    <t>https://drive.google.com/open?id=1d7YoJv7RLN9RI6zowWrRtOErO6B2Ql3Y</t>
  </si>
  <si>
    <t>https://drive.google.com/open?id=1uPh_Oo7edI6jvBUXfPmJqqD7XgWXPY4I</t>
  </si>
  <si>
    <t>https://drive.google.com/open?id=1mYg2z1v9BwxOCpU5qc_XRoDRcDyLYOid</t>
  </si>
  <si>
    <t>Venny</t>
  </si>
  <si>
    <t>081519099462</t>
  </si>
  <si>
    <t>Wilson tanoto</t>
  </si>
  <si>
    <t>089604131214</t>
  </si>
  <si>
    <t xml:space="preserve">The eminent cluster illustria d3 no 12 </t>
  </si>
  <si>
    <t>The eminent illustria blok D3 no 12 
Kode pos : 15339
Banten 
Kabupaten tangerang 
Pagedangan</t>
  </si>
  <si>
    <t>Vennyy_ven22</t>
  </si>
  <si>
    <t>https://drive.google.com/open?id=1JTnB0zi96a71eOseczr6L1zftMrMTx4o</t>
  </si>
  <si>
    <t>https://drive.google.com/open?id=1p4SepP99A-bWt1FWCtDvHtmZQz74ut70</t>
  </si>
  <si>
    <t>https://drive.google.com/open?id=1HSKaFeW-9hVeA_BdrhcCHAGraSNce3U6</t>
  </si>
  <si>
    <t>https://drive.google.com/open?id=1gPIR-rWiizYWAANdf2ArNLBjP_0iWyBP</t>
  </si>
  <si>
    <t>Ria layla safitri</t>
  </si>
  <si>
    <t>081289890160</t>
  </si>
  <si>
    <t>Bagas agung nugroho</t>
  </si>
  <si>
    <t>+62 811-8124-255</t>
  </si>
  <si>
    <t>Jl gelatik I</t>
  </si>
  <si>
    <t>Apartement pancoran riverside bariang lobby c</t>
  </si>
  <si>
    <t>Mooimom M3 pro</t>
  </si>
  <si>
    <t>Riaals</t>
  </si>
  <si>
    <t>https://drive.google.com/open?id=1xL3kA2DX4S6uj9J6jNWtMtRq03yPShUr</t>
  </si>
  <si>
    <t>https://drive.google.com/open?id=1zvJui4qTywpZN5kv-U09UEJDC3dq5oeB</t>
  </si>
  <si>
    <t>https://drive.google.com/open?id=1Jabz6v0lmQfiDqCIldtiQqAL8bMmKtRP</t>
  </si>
  <si>
    <t>https://drive.google.com/open?id=1wpmgCbYziFr1sjLHuo3qt3bzRwGphGgX</t>
  </si>
  <si>
    <t>Normeilina sari</t>
  </si>
  <si>
    <t>081216594667</t>
  </si>
  <si>
    <t>Dona arian</t>
  </si>
  <si>
    <t>081329222344</t>
  </si>
  <si>
    <t>Pesona citra indah no a19. Mayang, gatak</t>
  </si>
  <si>
    <t>Momcozy m9</t>
  </si>
  <si>
    <t>normeilina_sari</t>
  </si>
  <si>
    <t>https://drive.google.com/open?id=1KjyYQFt2ggGT9rcfhwF97I8s0IPkP2mh</t>
  </si>
  <si>
    <t>https://drive.google.com/open?id=12rI8eO34OQrddYedx9wXe44ap4ImvLPw</t>
  </si>
  <si>
    <t>https://drive.google.com/open?id=13y3UIeMfLxr20hAJXuuDHZN2h-MTkjy7</t>
  </si>
  <si>
    <t>https://drive.google.com/open?id=1QUy-fjE4VO-DDau0IkBsvwml3GBxXce5</t>
  </si>
  <si>
    <t>081284783443</t>
  </si>
  <si>
    <t>Kp Poncol No 10 Jl SDN Cipadu kel. Cipadu kec. Larangan Kota Tangerang 15155</t>
  </si>
  <si>
    <t>Medela swing maxi 2.0 double</t>
  </si>
  <si>
    <t>https://drive.google.com/open?id=1BWPG79tIlOsSBWxppD32won1WMMD-wef</t>
  </si>
  <si>
    <t>https://drive.google.com/open?id=1q4WWJ32VhNdtAU6zQhNuK6uXrHINDcBz</t>
  </si>
  <si>
    <t>https://drive.google.com/open?id=1n2c0zfU15kR0K-XnD2MnuZeZTdW20W6H</t>
  </si>
  <si>
    <t>https://drive.google.com/open?id=1vAkFl682yQPBNuXuJVzXmeVSDaGFibNz</t>
  </si>
  <si>
    <t xml:space="preserve">Meti Fatmawati </t>
  </si>
  <si>
    <t>085319361491</t>
  </si>
  <si>
    <t>Dadan Kushana</t>
  </si>
  <si>
    <t>087772269008</t>
  </si>
  <si>
    <t xml:space="preserve">Bumi Indah City, Cluster Naura Blok NJ 03, Sukamantri, Tangerang </t>
  </si>
  <si>
    <t>metifatmaa</t>
  </si>
  <si>
    <t>https://drive.google.com/open?id=1v6r2SNvZtr9uuzNle_wDi65YyEbuCjvX</t>
  </si>
  <si>
    <t>https://drive.google.com/open?id=1mpuMXGPIp9i_bh45_WgYidNijhpZY93o</t>
  </si>
  <si>
    <t>https://drive.google.com/open?id=17YCwfGry1hA3CUd5_hsQkY3PTUMuld8y</t>
  </si>
  <si>
    <t>Belinda Nurcahya Dewi</t>
  </si>
  <si>
    <t>081288785677</t>
  </si>
  <si>
    <t>Galih Trias Farobi</t>
  </si>
  <si>
    <t>081213162780</t>
  </si>
  <si>
    <t>JL Puskesmas No 68 Lebak Bulus</t>
  </si>
  <si>
    <t>Jln. Tawes 1, Komp. Depag Blok 6/c3-4, Bambu Apus, Pamulang, Tangerang Selatan 15415</t>
  </si>
  <si>
    <t>Medela Swing Maxi Double</t>
  </si>
  <si>
    <t>Belindanurcahya</t>
  </si>
  <si>
    <t>https://drive.google.com/open?id=1C12LwOQrWH-ibalKsWXyknNw9LFlOsK3</t>
  </si>
  <si>
    <t>https://drive.google.com/open?id=1aeIcw6AvF1vFzEETZ3hUGILTNQw4RXkK</t>
  </si>
  <si>
    <t>https://drive.google.com/open?id=1VZ3j6JEpKcw9cooARgHY9Oja01mIzxMp</t>
  </si>
  <si>
    <t>https://drive.google.com/open?id=1y79G9tTiLFp-2FsPlSxDg3VEyTtazngl</t>
  </si>
  <si>
    <t>booking 30 mei</t>
  </si>
  <si>
    <t>Sindy Wulandari</t>
  </si>
  <si>
    <t>081293115756</t>
  </si>
  <si>
    <t>Ardianto Angkawijaya</t>
  </si>
  <si>
    <t>085717016629</t>
  </si>
  <si>
    <t>Jl rawa kuning rt.001/016 cakung jakarta timur</t>
  </si>
  <si>
    <t>jl. Rawa kuning rt.001/016 no.25 gang haji.kecil kel.pulo gebang kec. cakung jakarta timur 13950</t>
  </si>
  <si>
    <t>Momcozy v2</t>
  </si>
  <si>
    <t>sindywldr</t>
  </si>
  <si>
    <t>https://drive.google.com/open?id=1lTQGRnM9MMtCnW4cZIilNTO7XF8uiWex</t>
  </si>
  <si>
    <t>https://drive.google.com/open?id=1txOzjom294EXe5pa6wGm9gf_GMrkoA5e</t>
  </si>
  <si>
    <t>https://drive.google.com/open?id=1yd1yDxo8-_eX4_Tx95hFPi33EObdSkpv</t>
  </si>
  <si>
    <t>https://drive.google.com/open?id=1E9E3hXL3snxuKAHqlPXiso5NvuPyFm3Z</t>
  </si>
  <si>
    <t>085771058760</t>
  </si>
  <si>
    <t>Puri Adika Blok DH No. 6, Desa Jampang, Kec. Gunung Sindur, Kab. Bogor 16340</t>
  </si>
  <si>
    <t>https://drive.google.com/open?id=1kAVohXGH47PNAUv0Dr5ELvOP4Ei0P3Xz</t>
  </si>
  <si>
    <t>https://drive.google.com/open?id=1YmEgjRCTnCar0uNpf3UEtT1bwl7pBfC1</t>
  </si>
  <si>
    <t>https://drive.google.com/open?id=1Hf3j79lsAh5JJqZnLjqbYsuvYemuV8Oh</t>
  </si>
  <si>
    <t>https://drive.google.com/open?id=1gD26UOMQ19SG-rGMT8nX5mF_Z7QhcTD2</t>
  </si>
  <si>
    <t>Martina Dwi Ayu Sukma Wardani</t>
  </si>
  <si>
    <t>081290548471</t>
  </si>
  <si>
    <t>Muhammad Suwarno</t>
  </si>
  <si>
    <t>082221657139</t>
  </si>
  <si>
    <t>Bukit Tiara Blok C2 No. 26, RT 29/RW 09, Ds. Pasir Jaya, Kec. Cikupa, Kab. Tangerang</t>
  </si>
  <si>
    <t>Bukit Tiara Blok A1 No. 17, RT 25/RW 05, Ds. Pasir Jaya, Kec. Cikupa, Kab. Tangerang</t>
  </si>
  <si>
    <t>Momcozy V2 Pro</t>
  </si>
  <si>
    <t>mrtndwayu</t>
  </si>
  <si>
    <t>https://drive.google.com/open?id=1la2B4-LIClR9IgvW2GRVayFT_qKdZArP</t>
  </si>
  <si>
    <t>https://drive.google.com/open?id=1Oxfp5jjknruDqUazv4DZBpnH2nrNegp6</t>
  </si>
  <si>
    <t>https://drive.google.com/open?id=1lGxfYeU40LFwOpdjmLdMeVOj1c3UmxdP</t>
  </si>
  <si>
    <t>https://drive.google.com/open?id=1SfCk4h4boCaLa2g2P_B7PfSJgXoj9Ua-</t>
  </si>
  <si>
    <t>Booking momcozy v2 pro kapanpun available</t>
  </si>
  <si>
    <t>Ira Adelia Putri</t>
  </si>
  <si>
    <t>0895394845650</t>
  </si>
  <si>
    <t>Ahmad Ahimsyah Halil</t>
  </si>
  <si>
    <t>082352050205</t>
  </si>
  <si>
    <t>Perumahan Sepinggan Pratama Blok E6 No.6, Sepinggan, Balikpapan Selatan, Kota Balikpapan, Kalimatan Timur</t>
  </si>
  <si>
    <t>momabae compact S+</t>
  </si>
  <si>
    <t>iraadelptr</t>
  </si>
  <si>
    <t>https://drive.google.com/open?id=11DzWZKMhXlVg1p_UZjqWfU9ChKJoxTDk</t>
  </si>
  <si>
    <t>https://drive.google.com/open?id=1E-TPHHyHHAqarXj2CS3x2g_J7r339jKT</t>
  </si>
  <si>
    <t>https://drive.google.com/open?id=1R9ZaPkAzHStYrSH16HsvKLRXDHII5GQz</t>
  </si>
  <si>
    <t>https://drive.google.com/open?id=1kUhQRvS-GWabupkQHQ2WyFbaQ3xPTqT-</t>
  </si>
  <si>
    <t>Luthfy Nadhifah Agustina</t>
  </si>
  <si>
    <t>085892689792</t>
  </si>
  <si>
    <t>Afdol Fadlil Pratama</t>
  </si>
  <si>
    <t>081250052200</t>
  </si>
  <si>
    <t>Ksatrian amji attak kelapa dua depok 
Rt: 005
Rw: 003 
Misionet Cempaka VII no 2
Kel pasir gunung selatan
Kec cimanggis 
Kab depok 
Prov jawa barat</t>
  </si>
  <si>
    <t>Ayem.storyyy</t>
  </si>
  <si>
    <t>https://drive.google.com/open?id=1fM6LUPQNSyOCzGHqJHM2GfaavqOiKQnp</t>
  </si>
  <si>
    <t>https://drive.google.com/open?id=1l8FdMXCghcel1PC0ivkbZRPmLWeFmZvP</t>
  </si>
  <si>
    <t>https://drive.google.com/open?id=17KHdmxI2UtgAzEV19zOv6wf_CEF_StTf</t>
  </si>
  <si>
    <t>https://drive.google.com/open?id=1Rh-zl2zSEptvt2dOgoWCvUholwbPtnUk</t>
  </si>
  <si>
    <t>NADYA NUR AFIFAH</t>
  </si>
  <si>
    <t>085173408062</t>
  </si>
  <si>
    <t>FIKRI AL WAHID</t>
  </si>
  <si>
    <t>081266437362</t>
  </si>
  <si>
    <t>Jl. H. Ridan I RT 001/001</t>
  </si>
  <si>
    <t>Nadya Nur A
No hp : 085173408062
Jalan H. Ridan 1 RT 001/001, Poris Plawad Indah, Cipondoh (Lokasi dekat air isi ulang Riska Tirta samping Rumah Pak Lurah)</t>
  </si>
  <si>
    <t>nadyanuraa</t>
  </si>
  <si>
    <t>https://drive.google.com/open?id=1u4LKP904UpgOtxrGOgnt9l5JQQsSKt4Q</t>
  </si>
  <si>
    <t>https://drive.google.com/open?id=1UHnXwnS4tK2TmY5gjVxeLnPYtS23mPl8</t>
  </si>
  <si>
    <t>https://drive.google.com/open?id=1D6s_AHXKPC37YfTtkF0egDhw8TJYe7ro</t>
  </si>
  <si>
    <t>Dewi Zulfah</t>
  </si>
  <si>
    <t>089526705129</t>
  </si>
  <si>
    <t>Renaldi Jeri</t>
  </si>
  <si>
    <t>089619377164</t>
  </si>
  <si>
    <t>Komplek Karang Tengah Permai Jl. Krakatau Blok TW No.9</t>
  </si>
  <si>
    <t>@zulfaaiueo</t>
  </si>
  <si>
    <t>https://drive.google.com/open?id=1rOwrYa0dFPur0eD4v4LbS7vwecmCqSQH</t>
  </si>
  <si>
    <t>https://drive.google.com/open?id=1GfiD5zfqgvcgNvSZG2E-QMa_ciS1b0sp</t>
  </si>
  <si>
    <t>https://drive.google.com/open?id=1hHCckprz6cMbXzjALs1VqKyT3lOQih99</t>
  </si>
  <si>
    <t>https://drive.google.com/open?id=17PxRMsYXgc0LMlF_9Ls2uX5VxeXUzjIy</t>
  </si>
  <si>
    <t>INDAH FITRIA GITA SAODAH</t>
  </si>
  <si>
    <t>0895346116973</t>
  </si>
  <si>
    <t>MUHAMAD FAUZI</t>
  </si>
  <si>
    <t>+62 812-1400-5521</t>
  </si>
  <si>
    <t>jl.Panorama Indah No.14a, rt 06, rw 14, Palasari, Cibiru, Bandung</t>
  </si>
  <si>
    <t>indahftrgita</t>
  </si>
  <si>
    <t>https://drive.google.com/open?id=1wAfDUxi5SZGtRtRXsjJwcaWDs3JOLQ-g</t>
  </si>
  <si>
    <t>https://drive.google.com/open?id=1ucL09MtCWt_2mJdBNldtqZk4tJ2gj0_b</t>
  </si>
  <si>
    <t>https://drive.google.com/open?id=1EbyKcW4ZBCxLWRf3xza_Wbpm6Ws5rw-K</t>
  </si>
  <si>
    <t>https://drive.google.com/open?id=16KHcyajuLL75VZ9uoqIBG_f-Np05c633</t>
  </si>
  <si>
    <t>Alisya Putri Rabbani</t>
  </si>
  <si>
    <t>082119000785</t>
  </si>
  <si>
    <t>Ibnu Zaenal Fiqri Romadhon</t>
  </si>
  <si>
    <t>081212129852</t>
  </si>
  <si>
    <t>Jalan Alle Raya IV No. 41, RT.4/RW.7, Rempoa, Ciputat Timur, KOTA TANGERANG SELATAN, CIPUTAT TIMUR, BANTEN, ID, 15412</t>
  </si>
  <si>
    <t>@alisyaputrir</t>
  </si>
  <si>
    <t>https://drive.google.com/open?id=1gANzy6eszo8znQ9zp99MVhgSlQ9cTYHz</t>
  </si>
  <si>
    <t>https://drive.google.com/open?id=19JRqOGjg2OB4eUvUq88i7TwV5-9WF_9k</t>
  </si>
  <si>
    <t>https://drive.google.com/open?id=14zUCeETyXwUeNXyw2ucR8mBdsLmUeiUb</t>
  </si>
  <si>
    <t>https://drive.google.com/open?id=10yK2zFKAnsNI-RJdBfd2vKdK-T98qzuZ</t>
  </si>
  <si>
    <t>Booking 18 mei</t>
  </si>
  <si>
    <t>Milla Widiandini Purnomo</t>
  </si>
  <si>
    <t>085775493096</t>
  </si>
  <si>
    <t>Muhamamd Rizki</t>
  </si>
  <si>
    <t>0895333290079</t>
  </si>
  <si>
    <t>Villa Regensi Tangerang II Blok EA 1 no 9 RT/RW 02/07 Kelurahan Gelam Jaya Kecamatan Pasar Kemis Kabupaten Tangerang Banten</t>
  </si>
  <si>
    <t>Jl. Jambu No.005, RT.006/RW.005, Buaran Indah, Kec. Tangerang, Kota Tangerang, Banten 15119 (Samping PT SSI , Bengkel Mobil Juragan Per)</t>
  </si>
  <si>
    <t>Millawdndp</t>
  </si>
  <si>
    <t>https://drive.google.com/open?id=1soLWuBfOyDKwtT2Kl9c_EH8ymDPu4Bco</t>
  </si>
  <si>
    <t>https://drive.google.com/open?id=1n7goMfLs5iXD4IuMmPDORx0QS18StRl7</t>
  </si>
  <si>
    <t>https://drive.google.com/open?id=1FnQfbzp5FiA0YMR-4Wvazn05WA20-mpV</t>
  </si>
  <si>
    <t>https://drive.google.com/open?id=1Kob0drum4V0JWAqZYO0FAuRyCPPuwhvQ</t>
  </si>
  <si>
    <t xml:space="preserve">Rizki Widya Herawati </t>
  </si>
  <si>
    <t>Pasar Lama Serpong RT013/005 no.25, Cilenggang, Serpong, Tangsel, Banten</t>
  </si>
  <si>
    <t>Green Lake City, Rukan Crown blok M no.17. PT Indotech Karya Mandiri</t>
  </si>
  <si>
    <t>Mooimom M3 Pro</t>
  </si>
  <si>
    <t>https://drive.google.com/open?id=1JUq090nUJOIoHj100mhA6g5UX5Zuz5Ip</t>
  </si>
  <si>
    <t>https://drive.google.com/open?id=1MNYEjCe_fli8uWbfO_o-ISWfYDnustT1</t>
  </si>
  <si>
    <t>https://drive.google.com/open?id=1TwIANWiqc9Mdkd77i1tXJ4IpEPU54g-b</t>
  </si>
  <si>
    <t>Fira Andiani Maidah</t>
  </si>
  <si>
    <t>082220872120</t>
  </si>
  <si>
    <t>Ibnu Kautsar Anwarangga</t>
  </si>
  <si>
    <t>081574648200</t>
  </si>
  <si>
    <t>Jl. Pamulang Permai Raya IV No.50, RT.002/RW.007, Kel. Pamulang Barat, Kec. Pamulang, Kota Tangerang Selatan, Banten, 15417</t>
  </si>
  <si>
    <t>Jl. Pamulang Permai Raya IV No.50, RT.002/RW.007, Kel. Pamulang Barat, Kec. Pamulang, Kota Tangerang Selatan, Banten, 15417 (Patokan : Gang turunan dimsum Andri, Rumah Pagar Hitam Cat Putih)</t>
  </si>
  <si>
    <t>Nevia Bottle Milk Warmer</t>
  </si>
  <si>
    <t>firaandianii</t>
  </si>
  <si>
    <t>https://drive.google.com/open?id=1cZgVJ6_quBzoiW3KIkAbowLrKUP5eBMU</t>
  </si>
  <si>
    <t>https://drive.google.com/open?id=1rkyvnTFW0PFhkxtQyupN87sy5gtIzLJO</t>
  </si>
  <si>
    <t>https://drive.google.com/open?id=15sy6OUhAOoQUftDcmzIToRNT2gwlF831</t>
  </si>
  <si>
    <t>https://drive.google.com/open?id=1mjMLXWbeiZmsuXKF6nmMWTWN_DS4M2fb</t>
  </si>
  <si>
    <t>Booking 11 mei</t>
  </si>
  <si>
    <t>Rorom siti rohimah</t>
  </si>
  <si>
    <t>087775172091</t>
  </si>
  <si>
    <t>Badrul</t>
  </si>
  <si>
    <t>081314017034</t>
  </si>
  <si>
    <t>Jl rawabinangun VII no. 32 rt/rw 11/8 kelurahan rawabadak utara, kec koja jakarta utara</t>
  </si>
  <si>
    <t xml:space="preserve">
Jl. Rawabinangun VII No 32
Rt 11 Rw 08, kelurahan Rawabadak utara, kec. Koja Jakarta Utara</t>
  </si>
  <si>
    <t>Ayi_ayayy</t>
  </si>
  <si>
    <t>https://drive.google.com/open?id=1qL5n8h-3r8RwQIhDzno1vOPcJtM1a71p</t>
  </si>
  <si>
    <t>https://drive.google.com/open?id=14kcCloM-nKaKmPMwUVPP5Z-iDNN1zWGo</t>
  </si>
  <si>
    <t>https://drive.google.com/open?id=1iIEThA73g9N_Rhk2LwPIl4uHW162vzrC</t>
  </si>
  <si>
    <t>Fitria Mustika Al-Aziziah</t>
  </si>
  <si>
    <t>082139119388</t>
  </si>
  <si>
    <t>M. Dicky Nurfauzi</t>
  </si>
  <si>
    <t>085311885322</t>
  </si>
  <si>
    <t>Bukit Pelamunan Permai Blok A9 No 9 Kramatwatu</t>
  </si>
  <si>
    <t>Bukit Pelamunan Permai Blok A9 No 13, Pelamunan, Kramatwatu, Serang, Banten</t>
  </si>
  <si>
    <t>@guzzhe__lll</t>
  </si>
  <si>
    <t>https://drive.google.com/open?id=1az1yzEw25lJjN2A45QDVsEtgFEHSeZAL</t>
  </si>
  <si>
    <t>https://drive.google.com/open?id=1eHDDUwURT5xreQQ8yNbHJwTNQt4csdaP</t>
  </si>
  <si>
    <t>https://drive.google.com/open?id=11Y8p75Nl6oVVRcMrMKr-_Zl25wx0wOGs</t>
  </si>
  <si>
    <t>https://drive.google.com/open?id=1KLucZetJ5IQi8pp21Ch5QC2y8uhNgBJo</t>
  </si>
  <si>
    <t>Yasmiasri nur hidayah</t>
  </si>
  <si>
    <t>087785751331</t>
  </si>
  <si>
    <t>Faiz baidlowi</t>
  </si>
  <si>
    <t>085749361995</t>
  </si>
  <si>
    <t>Ds. Kapas kec. Sukomoro kab. Nganjuk</t>
  </si>
  <si>
    <t>Rt. 03 Rw. 05 Ds. Kapas kec. Sukomoro kab. Nganjuk</t>
  </si>
  <si>
    <t>Mom uung</t>
  </si>
  <si>
    <t>Hyyas_98</t>
  </si>
  <si>
    <t>https://drive.google.com/open?id=1FO3Eis9R_rvvn8z3bvs8Jkr1Rid3Piaz</t>
  </si>
  <si>
    <t>https://drive.google.com/open?id=1On-KwTadF-eZQN1qPhQpZIdVvTAiBGxD</t>
  </si>
  <si>
    <t>https://drive.google.com/open?id=16P45lCkdv58KQROhlvinlUiSas8Jj-N4</t>
  </si>
  <si>
    <t>https://drive.google.com/open?id=1as40eWJ9akf-KHIb9NuTDu6xNUqR-hGI</t>
  </si>
  <si>
    <t>Lena Lutfina Natakusumawati</t>
  </si>
  <si>
    <t>081809552119</t>
  </si>
  <si>
    <t>Abdul Karim Suhadha</t>
  </si>
  <si>
    <t>Jl. Foker Utara No.25. RT.05 RW.23. Komp.Melong Green Garden. Kel. Melong. Kec.Cimahi Selatan. Kota Cimahi 40534</t>
  </si>
  <si>
    <t>Pompa Asi handsfree Momabae Omnia</t>
  </si>
  <si>
    <t>lenalutfina</t>
  </si>
  <si>
    <t>https://drive.google.com/open?id=13389TUFNqPjAVr16ShwX9r87Rjoa_hpc</t>
  </si>
  <si>
    <t>https://drive.google.com/open?id=1RmPz0X4HdstPL2nyfdYCcFTuBmTr2ROt</t>
  </si>
  <si>
    <t>https://drive.google.com/open?id=1x6aycBF5uMuX-v62SmXbDoh3N6lagOpW</t>
  </si>
  <si>
    <t>https://drive.google.com/open?id=1A6ktterjL2Z1q6ccfVofQ8rIfPbzELDY</t>
  </si>
  <si>
    <t>Dhuria Maulidya</t>
  </si>
  <si>
    <t>081325616808</t>
  </si>
  <si>
    <t>Faishal Pridikarno</t>
  </si>
  <si>
    <t>+62 812-2713-1396</t>
  </si>
  <si>
    <t>Pondok Indah Regency no A9 Kota Palembang</t>
  </si>
  <si>
    <t>Jl. Kol. H. Burlian km 6,5, Srijaya, Alang-alang Lebar (Kantor BPHL Wil.V Palembang)</t>
  </si>
  <si>
    <t>Medela swing</t>
  </si>
  <si>
    <t>dhuriabae</t>
  </si>
  <si>
    <t>https://drive.google.com/open?id=1xxXAsDHke3F72yVAqXP2jyLQUk45Rl2c</t>
  </si>
  <si>
    <t>https://drive.google.com/open?id=1CNYpQNv-xYN60pZ0iVbuglxlUeEGuQIw</t>
  </si>
  <si>
    <t>https://drive.google.com/open?id=1a921Z3qwLqHUyskT9ZtSHmIgxe7KJD9M</t>
  </si>
  <si>
    <t>https://drive.google.com/open?id=1eXc2-f9QE0puMauuf8jWnDDDhDRAiQeP</t>
  </si>
  <si>
    <t>Iqba alfawwazi</t>
  </si>
  <si>
    <t>Eufy</t>
  </si>
  <si>
    <t>https://drive.google.com/open?id=1O7DvDysjzcL2O0f71XdPXdVNkmqgTIy9</t>
  </si>
  <si>
    <t>https://drive.google.com/open?id=1VLWYltaeSpOW06sB8ifgkrj5utq9UMpn</t>
  </si>
  <si>
    <t>https://drive.google.com/open?id=1JgUZjJJHDVzbK-R-A_4NqgDixGN437Y2</t>
  </si>
  <si>
    <t xml:space="preserve">Fitria Puspita </t>
  </si>
  <si>
    <t>081222555160</t>
  </si>
  <si>
    <t xml:space="preserve">Khabib Dwi Laksono </t>
  </si>
  <si>
    <t>+62 877-7732-7743</t>
  </si>
  <si>
    <t xml:space="preserve">Halim Perdanakusuma </t>
  </si>
  <si>
    <t xml:space="preserve">Kampung baru 1 RT 9/5 no 8b Halim Perdanakusuma Jakarta Timur </t>
  </si>
  <si>
    <t>Momabe omni</t>
  </si>
  <si>
    <t xml:space="preserve">Puspitafitria </t>
  </si>
  <si>
    <t>https://drive.google.com/open?id=1P3uTrH-_03Rp8asRWdHdT1HXNo56os7o</t>
  </si>
  <si>
    <t>https://drive.google.com/open?id=1fdjuMtxy6ZD0pVunShbNk9ZKiOOzUkC4</t>
  </si>
  <si>
    <t>https://drive.google.com/open?id=1JSf8glBmqUmsOblzYtzvhkEt-hnkYmho</t>
  </si>
  <si>
    <t>https://drive.google.com/open?id=1sB-yi0Q67BgNwcnEIje7zK8XpjwciC5a</t>
  </si>
  <si>
    <t>nadia eka syahputri</t>
  </si>
  <si>
    <t>muhammad fadhil aditya</t>
  </si>
  <si>
    <t>Jl. Akasia II No. 85A RT.07/RW.12, Kel. Cengkareng Timur, Kec. Cengkareng - Jakarta Barat 11730</t>
  </si>
  <si>
    <t>Spectra H1 Lite</t>
  </si>
  <si>
    <t>https://drive.google.com/open?id=1MJpVXxfv1KIG__97sOjJn_1kFoYjlGmi</t>
  </si>
  <si>
    <t>https://drive.google.com/open?id=1IqZowLytXrf2USji05ZyGF-jZpUzvJ1k</t>
  </si>
  <si>
    <t>https://drive.google.com/open?id=1BVnBtZO2c-5LWjZAiPj6QcXSabSRRJ_v</t>
  </si>
  <si>
    <t>Yulia sara putri</t>
  </si>
  <si>
    <t>081316006760</t>
  </si>
  <si>
    <t>Junaedi</t>
  </si>
  <si>
    <t>085717174425</t>
  </si>
  <si>
    <t>Jl alfalah 1 no 49 rt 05 rw 08 duri kosambi cengkareng jakarta barat</t>
  </si>
  <si>
    <t>Momcozy m9 single</t>
  </si>
  <si>
    <t>Yuliasaraputri</t>
  </si>
  <si>
    <t>https://drive.google.com/open?id=1zV4geB4ZaEdYJ4T5t-RXLRsQo8l4KOt7</t>
  </si>
  <si>
    <t>https://drive.google.com/open?id=19FHRbD0FkTlmAFDwwBDcjPWARRWQDte7</t>
  </si>
  <si>
    <t>https://drive.google.com/open?id=1tYloRw1Hf0BTJQg_BM7sU0iJvimd_pE-</t>
  </si>
  <si>
    <t>https://drive.google.com/open?id=1K8nyii_pwk8F8oYeynzoOZ7ctDMy5Nxi</t>
  </si>
  <si>
    <t>VALERIA REZHA PAHLEVI</t>
  </si>
  <si>
    <t>081250206100</t>
  </si>
  <si>
    <t>FERNANDO PELAWI</t>
  </si>
  <si>
    <t>081222662256</t>
  </si>
  <si>
    <t xml:space="preserve">Jalan Haji Ten I No.9A, RT.2/RW.1, Rawamangun, Pulo Gadung, Jakarta timur, DKI Jakarta (13220). Depan Masjid Al Mutohirin </t>
  </si>
  <si>
    <t>lelelevale</t>
  </si>
  <si>
    <t>https://drive.google.com/open?id=1Kprairv8wyxImDuQdzAeqY2FU7JxWMpp</t>
  </si>
  <si>
    <t>https://drive.google.com/open?id=1qtseEzzC2oDmLSbtB6xGyvyxdIoq2Zql</t>
  </si>
  <si>
    <t>https://drive.google.com/open?id=1T1DXz4TCseOO6OHha3EBuNgNb4T8fACo</t>
  </si>
  <si>
    <t>Fikri Al wahid</t>
  </si>
  <si>
    <t>Jl H Ridan I</t>
  </si>
  <si>
    <t>https://drive.google.com/open?id=1vRWRE7xt_FLnxYo8GshS4sBVAOy7AwBH</t>
  </si>
  <si>
    <t>https://drive.google.com/open?id=1N48HVwxbZCiOxdruWBzYphGH8L3NCLJs</t>
  </si>
  <si>
    <t>https://drive.google.com/open?id=1hEArIRDtqKv9pY__rP60sLst-1hCBAyM</t>
  </si>
  <si>
    <t>Spectra Dual Compact 1</t>
  </si>
  <si>
    <t>In</t>
  </si>
  <si>
    <t>preloved tahun 2021</t>
  </si>
  <si>
    <t>Back 4 maret</t>
  </si>
  <si>
    <t>Spectra Dual Compact 2</t>
  </si>
  <si>
    <t>Out</t>
  </si>
  <si>
    <t>preloved tahun 2022</t>
  </si>
  <si>
    <t>Mom Uung Corong</t>
  </si>
  <si>
    <t>Gabag Maximo 1</t>
  </si>
  <si>
    <t>Preloved 2023</t>
  </si>
  <si>
    <t>Back 26 maret</t>
  </si>
  <si>
    <t>Gabag Maximo 2</t>
  </si>
  <si>
    <t>Beli di pameran 2024</t>
  </si>
  <si>
    <t>Gabag Imax Pro Cup LED</t>
  </si>
  <si>
    <t>Pameran 2024</t>
  </si>
  <si>
    <t>Malish Flexigo</t>
  </si>
  <si>
    <t>Preloved 2020</t>
  </si>
  <si>
    <t>Bebetons Neo v2</t>
  </si>
  <si>
    <t>Preloved maret 2023</t>
  </si>
  <si>
    <t>Back 12 maret</t>
  </si>
  <si>
    <t>Momabae omni 1</t>
  </si>
  <si>
    <t>Preloved 2024</t>
  </si>
  <si>
    <t>Momabae omni 2</t>
  </si>
  <si>
    <t>Mom Uung Handsfree</t>
  </si>
  <si>
    <t>Sticker no 14&amp;2</t>
  </si>
  <si>
    <t>Preloved 2021</t>
  </si>
  <si>
    <t>Nevia Portable Warmer 2</t>
  </si>
  <si>
    <t>Back 11 maret</t>
  </si>
  <si>
    <t>Spectra 9+ 2</t>
  </si>
  <si>
    <t>Karet belakangnya hilang 1</t>
  </si>
  <si>
    <t>Momabae Omni 3</t>
  </si>
  <si>
    <t>Back 8 maret</t>
  </si>
  <si>
    <t>Momabae Omni 4</t>
  </si>
  <si>
    <t>Momabae Omni 5</t>
  </si>
  <si>
    <t>Back 9 maret</t>
  </si>
  <si>
    <t>Momabae Omni 6</t>
  </si>
  <si>
    <t>Back 2 maret</t>
  </si>
  <si>
    <t>Medela Swing Maxi hf</t>
  </si>
  <si>
    <t>Preloved maret 2025</t>
  </si>
  <si>
    <t>Preloved 2025</t>
  </si>
  <si>
    <t>Back 7 maret</t>
  </si>
  <si>
    <t>Medela swing maxi double</t>
  </si>
  <si>
    <t>Preloved des 2025</t>
  </si>
  <si>
    <t>Back 28 maret</t>
  </si>
  <si>
    <t>Spectra dual compact 3</t>
  </si>
  <si>
    <t>Preloved juni 2024</t>
  </si>
  <si>
    <t>New 2026</t>
  </si>
  <si>
    <t>Back 5 maret</t>
  </si>
  <si>
    <t>Momabae Omni S+ 1</t>
  </si>
  <si>
    <t>Momabae Omni S+ 2</t>
  </si>
  <si>
    <t>Momcozy M9 2</t>
  </si>
  <si>
    <t>35 Momcozy V2 Pro</t>
  </si>
  <si>
    <t>Momcozy v2 pro 2</t>
  </si>
  <si>
    <t>Preloved 2026</t>
  </si>
  <si>
    <t>Mooimom m3 pro 1</t>
  </si>
  <si>
    <t>Mooimom m3 pro 2</t>
  </si>
  <si>
    <t>Mooimom x1 1</t>
  </si>
  <si>
    <t>Gabag maximo 3</t>
  </si>
  <si>
    <t>Gabag maximo 4</t>
  </si>
  <si>
    <t>UNIT</t>
  </si>
  <si>
    <t>MODAL</t>
  </si>
  <si>
    <t>Harga jual</t>
  </si>
  <si>
    <t>on shopee</t>
  </si>
  <si>
    <t>Hasil akhir</t>
  </si>
  <si>
    <t>1 month</t>
  </si>
  <si>
    <t>Nevia Portable Warmer 1</t>
  </si>
  <si>
    <t>Gabag Maximo 3 &amp; 4</t>
  </si>
  <si>
    <t>Momabae omni 1 &amp; 2</t>
  </si>
  <si>
    <t>Spectra 9+ 1</t>
  </si>
  <si>
    <t>Momabae Compact S+ 1</t>
  </si>
  <si>
    <t>Medela swing maxi hf</t>
  </si>
  <si>
    <t>Momabae omni 3 &amp; 4</t>
  </si>
  <si>
    <t>Momabae omni 5 &amp; 6</t>
  </si>
  <si>
    <t>Momabae Compact S+ 2</t>
  </si>
  <si>
    <t>Momabae compact s+ new</t>
  </si>
  <si>
    <t>Momabae omni s+ 2</t>
  </si>
  <si>
    <t>Momcozy v2 pro</t>
  </si>
  <si>
    <t>Mooimom M3 Pro 2</t>
  </si>
  <si>
    <t>Mooimom X1</t>
  </si>
  <si>
    <t>Mooimom x1 2</t>
  </si>
  <si>
    <t>Eufy s1 pro</t>
  </si>
  <si>
    <t>Pemasukan</t>
  </si>
  <si>
    <t>Tanggal</t>
  </si>
  <si>
    <t>Keterangan</t>
  </si>
  <si>
    <t>Durasi</t>
  </si>
  <si>
    <t>Jumlah</t>
  </si>
  <si>
    <t>TOTAL PEMASUKAN</t>
  </si>
  <si>
    <t>jenis</t>
  </si>
  <si>
    <t>penghasilan</t>
  </si>
  <si>
    <t>1 minggu</t>
  </si>
  <si>
    <t>Dual compact</t>
  </si>
  <si>
    <t>gabag maximo</t>
  </si>
  <si>
    <t>1 bulan</t>
  </si>
  <si>
    <t>spectra s1+</t>
  </si>
  <si>
    <t>warmer</t>
  </si>
  <si>
    <t>warmer + adptr</t>
  </si>
  <si>
    <t>2 minggu</t>
  </si>
  <si>
    <t>Mom uung p</t>
  </si>
  <si>
    <t>gabag imax</t>
  </si>
  <si>
    <t>compact s+</t>
  </si>
  <si>
    <t>TOTAL</t>
  </si>
  <si>
    <t>spectra 9+</t>
  </si>
  <si>
    <t>h1 lite</t>
  </si>
  <si>
    <t>2 bulan free 2 minggu</t>
  </si>
  <si>
    <t>mom uung hf</t>
  </si>
  <si>
    <t>bebetons v2</t>
  </si>
  <si>
    <t>dual s</t>
  </si>
  <si>
    <t>medela sm hf</t>
  </si>
  <si>
    <t>Mom Uung portable</t>
  </si>
  <si>
    <t>momcozy v1</t>
  </si>
  <si>
    <t>Opia</t>
  </si>
  <si>
    <t>Nevia portable warmer + adaptor</t>
  </si>
  <si>
    <t>Medela sm double</t>
  </si>
  <si>
    <t>Omni s+</t>
  </si>
  <si>
    <t>Mooimom m3</t>
  </si>
  <si>
    <t>Mooimom x1</t>
  </si>
  <si>
    <t>medela hf cup</t>
  </si>
  <si>
    <t>nevia portable warmer</t>
  </si>
  <si>
    <t>1 bulan free 1 minggu</t>
  </si>
  <si>
    <t>Total</t>
  </si>
  <si>
    <t>5 hari</t>
  </si>
  <si>
    <t>2 bulan free 10 hari</t>
  </si>
  <si>
    <t>6 hari</t>
  </si>
  <si>
    <t>tukeran maximo 1 bln</t>
  </si>
  <si>
    <t>Gabag imax pro cup</t>
  </si>
  <si>
    <t>Spectra h1 lite</t>
  </si>
  <si>
    <t>medela swing maxi hf</t>
  </si>
  <si>
    <t>10 hari</t>
  </si>
  <si>
    <t xml:space="preserve">7 hari </t>
  </si>
  <si>
    <t>25/20/25</t>
  </si>
  <si>
    <t>Medela Swing Maxi HF</t>
  </si>
  <si>
    <t>Medela swing maxi Hf</t>
  </si>
  <si>
    <t>mom uung handsfree</t>
  </si>
  <si>
    <t>TOTAL OMSET 2025</t>
  </si>
  <si>
    <t>medela swing maxi double</t>
  </si>
  <si>
    <t>opia diamond</t>
  </si>
  <si>
    <t>momabae omni s+</t>
  </si>
  <si>
    <t>momcozy m9</t>
  </si>
  <si>
    <t>momcozy v2 pro</t>
  </si>
  <si>
    <t>Mooimom m3 pro</t>
  </si>
  <si>
    <t>Preloved</t>
  </si>
  <si>
    <t>Pengeluaran</t>
  </si>
  <si>
    <t>Modal</t>
  </si>
  <si>
    <t>spectra dc</t>
  </si>
  <si>
    <t>beli sparepart cadangan</t>
  </si>
  <si>
    <t>Iklan Shopee</t>
  </si>
  <si>
    <t>Botol pumping</t>
  </si>
  <si>
    <t>Sparepart pompa</t>
  </si>
  <si>
    <t>kantong asip kolibri beli di imbex</t>
  </si>
  <si>
    <t>Kasip blibli</t>
  </si>
  <si>
    <t>Iklan shopee</t>
  </si>
  <si>
    <t>Admin bank</t>
  </si>
  <si>
    <t>Sticker dan freebies</t>
  </si>
  <si>
    <t>Gabag maximo 2pcs</t>
  </si>
  <si>
    <t>Ongkir valve bandung</t>
  </si>
  <si>
    <t>Sparepart momabae compact</t>
  </si>
  <si>
    <t>hasil sewa mami</t>
  </si>
  <si>
    <t>Ongkir service</t>
  </si>
  <si>
    <t>Sparepart spectra</t>
  </si>
  <si>
    <t>Service gabag</t>
  </si>
  <si>
    <t>Medela swing maxi</t>
  </si>
  <si>
    <t>Pouch freebies 20pcs</t>
  </si>
  <si>
    <t>Corong momabae omni</t>
  </si>
  <si>
    <t>Pouch bonus</t>
  </si>
  <si>
    <t>Kantong asi, sparepart pompa</t>
  </si>
  <si>
    <t>Printer resi</t>
  </si>
  <si>
    <t>Esim im3</t>
  </si>
  <si>
    <t>Ads instagram</t>
  </si>
  <si>
    <t>Box gede</t>
  </si>
  <si>
    <t>Box pompa</t>
  </si>
  <si>
    <t>Ganti baterai, motor, pcb spectra s1+</t>
  </si>
  <si>
    <t>Valve pompa</t>
  </si>
  <si>
    <t>Ongkir servis pompa opia diamond</t>
  </si>
  <si>
    <t>Ganti batre opia diamond</t>
  </si>
  <si>
    <t>Bayarin iuran kartu kredit</t>
  </si>
  <si>
    <t>Ongkir servis opia</t>
  </si>
  <si>
    <t>Warmer mami</t>
  </si>
  <si>
    <t>Sparepart momabae compact s+</t>
  </si>
  <si>
    <t>Service momabae compact s+</t>
  </si>
  <si>
    <t>Box mr diy</t>
  </si>
  <si>
    <t>Pulsa im3</t>
  </si>
  <si>
    <t>Asuransi kirim pompa</t>
  </si>
  <si>
    <t>Kartu ucapan</t>
  </si>
  <si>
    <t>Penyesuaian saldo</t>
  </si>
  <si>
    <t>MIRA</t>
  </si>
  <si>
    <t>Mira</t>
  </si>
  <si>
    <t>Sparepart momabae omni</t>
  </si>
  <si>
    <t>Pulsa</t>
  </si>
  <si>
    <t>Gojek kirim sparepart rusak ke cust</t>
  </si>
  <si>
    <t>Sparepart spectra dual compact</t>
  </si>
  <si>
    <t>valve mom uung</t>
  </si>
  <si>
    <t>Iklan</t>
  </si>
  <si>
    <t>Dp posting instagram</t>
  </si>
  <si>
    <t>Sparepart opia diamond</t>
  </si>
  <si>
    <t>iklan shopee</t>
  </si>
  <si>
    <t>Pulsa admin</t>
  </si>
  <si>
    <t>Ongkir refund momabae compact s+</t>
  </si>
  <si>
    <t xml:space="preserve">Valve opia diamond </t>
  </si>
  <si>
    <t>Dp Handsfree cup medela</t>
  </si>
  <si>
    <t>Momabae omni s+ 2 unit</t>
  </si>
  <si>
    <t>Momcozy m9 2 unit</t>
  </si>
  <si>
    <t>Traktiran</t>
  </si>
  <si>
    <t>Iklan instagram</t>
  </si>
  <si>
    <t>Pelunasan handsfree cup medela</t>
  </si>
  <si>
    <t>Mooimom m3 pro 2 unit</t>
  </si>
  <si>
    <t>Flange insert</t>
  </si>
  <si>
    <t>Corong baru &amp; perintilan</t>
  </si>
  <si>
    <t>Sparepart, bonus, papan tulis</t>
  </si>
  <si>
    <t>Kantong asi</t>
  </si>
  <si>
    <t>Sparepart</t>
  </si>
  <si>
    <t>Tambahan spidol</t>
  </si>
  <si>
    <t>Kantong asi dan vacuum gauge</t>
  </si>
  <si>
    <t>Others</t>
  </si>
  <si>
    <t>Pelunasan posting instagram</t>
  </si>
  <si>
    <t>Eufy S1 Pro</t>
  </si>
  <si>
    <t>Sticker dan thank you card</t>
  </si>
  <si>
    <t>Sparepart &amp; refill label thermal</t>
  </si>
  <si>
    <t>sisa saldo</t>
  </si>
  <si>
    <t>No.</t>
  </si>
  <si>
    <t>Merk</t>
  </si>
  <si>
    <t>Unit</t>
  </si>
  <si>
    <t>Official Price</t>
  </si>
  <si>
    <t>Bought</t>
  </si>
  <si>
    <t>Not Buying</t>
  </si>
  <si>
    <t>Circlo S+</t>
  </si>
  <si>
    <t>Compact S+</t>
  </si>
  <si>
    <t>Diamond</t>
  </si>
  <si>
    <t>Eclat N+</t>
  </si>
  <si>
    <t>Mutter</t>
  </si>
  <si>
    <t>Gold Links</t>
  </si>
  <si>
    <t>Krystal HK</t>
  </si>
  <si>
    <t>Topaz Go</t>
  </si>
  <si>
    <t>Topaz</t>
  </si>
  <si>
    <t>Pearl</t>
  </si>
  <si>
    <t>Mooimom</t>
  </si>
  <si>
    <t>M3 pro airflow</t>
  </si>
  <si>
    <t>M2</t>
  </si>
  <si>
    <t>X1</t>
  </si>
  <si>
    <t>B9 Pro</t>
  </si>
  <si>
    <t>Spectra</t>
  </si>
  <si>
    <t>H1 Lite</t>
  </si>
  <si>
    <t>Dual Compact</t>
  </si>
  <si>
    <t>QR</t>
  </si>
  <si>
    <t>9+</t>
  </si>
  <si>
    <t>Dual S</t>
  </si>
  <si>
    <t>S1 Pro</t>
  </si>
  <si>
    <t>S1+</t>
  </si>
  <si>
    <t>Imani</t>
  </si>
  <si>
    <t>I2+</t>
  </si>
  <si>
    <t>Haenim</t>
  </si>
  <si>
    <t>7V Pro</t>
  </si>
  <si>
    <t>7X</t>
  </si>
  <si>
    <t>7S</t>
  </si>
  <si>
    <t>7A Lite</t>
  </si>
  <si>
    <t>Youha</t>
  </si>
  <si>
    <t>The Ins Gen 3</t>
  </si>
  <si>
    <t>The Ins Gen 2</t>
  </si>
  <si>
    <t>Hola</t>
  </si>
  <si>
    <t>The One</t>
  </si>
  <si>
    <t>Smart</t>
  </si>
  <si>
    <t>AIO</t>
  </si>
  <si>
    <t>Duo</t>
  </si>
  <si>
    <t>Elmom</t>
  </si>
  <si>
    <t>M2 Compact</t>
  </si>
  <si>
    <t>M1</t>
  </si>
  <si>
    <t>Horigen</t>
  </si>
  <si>
    <t>Polaris</t>
  </si>
  <si>
    <t>Power Girl</t>
  </si>
  <si>
    <t>Subtlemate</t>
  </si>
  <si>
    <t>Superstar</t>
  </si>
  <si>
    <t>Malish</t>
  </si>
  <si>
    <t>Epump W</t>
  </si>
  <si>
    <t>Epump Gen 2</t>
  </si>
  <si>
    <t>Unica Plus</t>
  </si>
  <si>
    <t>Epump Slim</t>
  </si>
  <si>
    <t>Flexigo</t>
  </si>
  <si>
    <t>Mom Uung</t>
  </si>
  <si>
    <t>Portable</t>
  </si>
  <si>
    <t>Handsfree</t>
  </si>
  <si>
    <t>Supermama</t>
  </si>
  <si>
    <t>Airplus</t>
  </si>
  <si>
    <t>Flexi Fit</t>
  </si>
  <si>
    <t>Beartons</t>
  </si>
  <si>
    <t>Miels</t>
  </si>
  <si>
    <t>Bebetons</t>
  </si>
  <si>
    <t>Neo v2</t>
  </si>
  <si>
    <t>Palm</t>
  </si>
  <si>
    <t>Gabag</t>
  </si>
  <si>
    <t>Maximo</t>
  </si>
  <si>
    <t>Imax PC Led</t>
  </si>
  <si>
    <t>Bebebao</t>
  </si>
  <si>
    <t>P1</t>
  </si>
  <si>
    <t>Doopser</t>
  </si>
  <si>
    <t>Wearable HF</t>
  </si>
  <si>
    <t>Double</t>
  </si>
  <si>
    <t>Medela</t>
  </si>
  <si>
    <t>Easy</t>
  </si>
  <si>
    <t>Swing Maxi 2.0 hf</t>
  </si>
  <si>
    <t>Swing Maxi 2.0 double</t>
  </si>
  <si>
    <t>Solo</t>
  </si>
  <si>
    <t>Pump In Style</t>
  </si>
  <si>
    <t>Flex Single</t>
  </si>
  <si>
    <t>Avent</t>
  </si>
  <si>
    <t>Natural Twin</t>
  </si>
  <si>
    <t>Hegen</t>
  </si>
  <si>
    <t>Double Pump</t>
  </si>
  <si>
    <t>Unimom</t>
  </si>
  <si>
    <t>Smart Eco</t>
  </si>
  <si>
    <t>Momcozy</t>
  </si>
  <si>
    <t>V2 pro</t>
  </si>
  <si>
    <t>M9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</si>
</sst>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d mmmm"/>
    <numFmt numFmtId="166" formatCode="d mmm"/>
    <numFmt numFmtId="167" formatCode="#,##0;(#,##0)"/>
    <numFmt numFmtId="168" formatCode="[$Rp-421]#,##0"/>
    <numFmt numFmtId="169" formatCode="[$Rp]#,##0"/>
    <numFmt numFmtId="170" formatCode="_-[$Rp-421]* #,##0_-;_-[$Rp-421]* \-#,##0_-;_-[$Rp-421]* &quot;-&quot;??_-;_-@"/>
    <numFmt numFmtId="171" formatCode="d/m/yy"/>
    <numFmt numFmtId="172" formatCode="dd/mm/yy"/>
    <numFmt numFmtId="173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trike/>
      <color theme="1"/>
      <name val="Arial"/>
      <scheme val="minor"/>
    </font>
    <font>
      <b/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1" numFmtId="9" xfId="0" applyFont="1" applyNumberFormat="1"/>
    <xf borderId="0" fillId="2" fontId="1" numFmtId="0" xfId="0" applyFill="1" applyFont="1"/>
    <xf borderId="0" fillId="3" fontId="1" numFmtId="169" xfId="0" applyFill="1" applyFont="1" applyNumberFormat="1"/>
    <xf borderId="0" fillId="0" fontId="1" numFmtId="167" xfId="0" applyFont="1" applyNumberFormat="1"/>
    <xf borderId="0" fillId="0" fontId="1" numFmtId="169" xfId="0" applyFont="1" applyNumberFormat="1"/>
    <xf borderId="0" fillId="3" fontId="1" numFmtId="0" xfId="0" applyFont="1"/>
    <xf borderId="0" fillId="4" fontId="1" numFmtId="169" xfId="0" applyFill="1" applyFont="1" applyNumberFormat="1"/>
    <xf borderId="0" fillId="0" fontId="1" numFmtId="10" xfId="0" applyFont="1" applyNumberFormat="1"/>
    <xf borderId="0" fillId="0" fontId="1" numFmtId="0" xfId="0" applyAlignment="1" applyFont="1">
      <alignment horizontal="center" readingOrder="0"/>
    </xf>
    <xf borderId="0" fillId="0" fontId="1" numFmtId="170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0" xfId="0" applyFont="1" applyNumberFormat="1"/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5" fontId="4" numFmtId="170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170" xfId="0" applyAlignment="1" applyFont="1" applyNumberFormat="1">
      <alignment readingOrder="0"/>
    </xf>
    <xf borderId="0" fillId="5" fontId="1" numFmtId="170" xfId="0" applyFont="1" applyNumberFormat="1"/>
    <xf borderId="0" fillId="5" fontId="4" numFmtId="0" xfId="0" applyAlignment="1" applyFont="1">
      <alignment readingOrder="0"/>
    </xf>
    <xf borderId="0" fillId="5" fontId="4" numFmtId="170" xfId="0" applyAlignment="1" applyFont="1" applyNumberFormat="1">
      <alignment readingOrder="0"/>
    </xf>
    <xf borderId="0" fillId="5" fontId="5" numFmtId="170" xfId="0" applyAlignment="1" applyFont="1" applyNumberFormat="1">
      <alignment readingOrder="0"/>
    </xf>
    <xf borderId="0" fillId="5" fontId="1" numFmtId="0" xfId="0" applyFont="1"/>
    <xf borderId="0" fillId="0" fontId="4" numFmtId="0" xfId="0" applyAlignment="1" applyFont="1">
      <alignment readingOrder="0"/>
    </xf>
    <xf borderId="0" fillId="0" fontId="4" numFmtId="17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7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63" displayName="Form_Responses1" name="Form_Responses1" id="1">
  <tableColumns count="17">
    <tableColumn name="Timestamp" id="1"/>
    <tableColumn name="Nama lengkap" id="2"/>
    <tableColumn name="No. HP yang terdaftar di WA" id="3"/>
    <tableColumn name="Nama lengkap pasangan" id="4"/>
    <tableColumn name="No. HP pasangan yang terdaftar di WA" id="5"/>
    <tableColumn name="Alamat domisili" id="6"/>
    <tableColumn name="Alamat pengiriman" id="7"/>
    <tableColumn name="Pengiriman" id="8"/>
    <tableColumn name="Durasi sewa" id="9"/>
    <tableColumn name="Unit yang akan disewa" id="10"/>
    <tableColumn name="Username Instagram" id="11"/>
    <tableColumn name="Follow instagram @sewasamamira" id="12"/>
    <tableColumn name="Foto KTP suami" id="13"/>
    <tableColumn name="Bukti transfer deposit" id="14"/>
    <tableColumn name="Foto KTP istri" id="15"/>
    <tableColumn name="Foto KTP suami dan istri" id="16"/>
    <tableColumn name="Column 17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FH59j5eXS24ujM4nY6oazu2Ldfr5Ag6k" TargetMode="External"/><Relationship Id="rId194" Type="http://schemas.openxmlformats.org/officeDocument/2006/relationships/hyperlink" Target="https://drive.google.com/open?id=1A7lzCEU5IzzD4tDcoC_Q8fEgAd-8k_Sh" TargetMode="External"/><Relationship Id="rId193" Type="http://schemas.openxmlformats.org/officeDocument/2006/relationships/hyperlink" Target="https://drive.google.com/open?id=1Zk_fY0ko47VQDlie_uWXLaLZYW1LhKpv" TargetMode="External"/><Relationship Id="rId192" Type="http://schemas.openxmlformats.org/officeDocument/2006/relationships/hyperlink" Target="https://drive.google.com/open?id=1a-nrUC0qFM2R4OsJYmnPLqRCfyXrze1G" TargetMode="External"/><Relationship Id="rId191" Type="http://schemas.openxmlformats.org/officeDocument/2006/relationships/hyperlink" Target="https://drive.google.com/open?id=1Lj-zMDfN-i7wM_snG-XUVCBMYgHajzDH" TargetMode="External"/><Relationship Id="rId187" Type="http://schemas.openxmlformats.org/officeDocument/2006/relationships/hyperlink" Target="https://drive.google.com/open?id=1yPTIEHZUmEZ77SgH53xL1Lv-M62AU7eb" TargetMode="External"/><Relationship Id="rId186" Type="http://schemas.openxmlformats.org/officeDocument/2006/relationships/hyperlink" Target="https://drive.google.com/open?id=1zUs0XkZPr8bOMijZRQw_2mLlLfBabfkI" TargetMode="External"/><Relationship Id="rId185" Type="http://schemas.openxmlformats.org/officeDocument/2006/relationships/hyperlink" Target="https://drive.google.com/open?id=1PcQGwWNNQKDPS5K58bUb5QqtlFHBIIzO" TargetMode="External"/><Relationship Id="rId184" Type="http://schemas.openxmlformats.org/officeDocument/2006/relationships/hyperlink" Target="https://drive.google.com/open?id=1acYvpOaz5mQFb18wz4x_Fy9BOXa_0OsE" TargetMode="External"/><Relationship Id="rId189" Type="http://schemas.openxmlformats.org/officeDocument/2006/relationships/hyperlink" Target="https://drive.google.com/open?id=1j1lyDPjIgP7LbXFOoEjHm4-ZZ2lzUo5M" TargetMode="External"/><Relationship Id="rId188" Type="http://schemas.openxmlformats.org/officeDocument/2006/relationships/hyperlink" Target="https://drive.google.com/open?id=1AAaZX8eOADUOC-vcGW60MKJtPCg3Qvng" TargetMode="External"/><Relationship Id="rId183" Type="http://schemas.openxmlformats.org/officeDocument/2006/relationships/hyperlink" Target="https://drive.google.com/open?id=1ANT-ndd-WbPqFq61PVaLftsdDGezyEcb" TargetMode="External"/><Relationship Id="rId182" Type="http://schemas.openxmlformats.org/officeDocument/2006/relationships/hyperlink" Target="https://drive.google.com/open?id=1hRln6VY4gXIFKKry197eVFa--otv-ypP" TargetMode="External"/><Relationship Id="rId181" Type="http://schemas.openxmlformats.org/officeDocument/2006/relationships/hyperlink" Target="https://drive.google.com/open?id=134TchI-uJGJQ9ebDDF7jsucEmbTNaz0a" TargetMode="External"/><Relationship Id="rId180" Type="http://schemas.openxmlformats.org/officeDocument/2006/relationships/hyperlink" Target="https://drive.google.com/open?id=1FJK1bPhiZGjVymBbfVVXhT0IVruFFeZn" TargetMode="External"/><Relationship Id="rId176" Type="http://schemas.openxmlformats.org/officeDocument/2006/relationships/hyperlink" Target="https://drive.google.com/open?id=1MYezAYl680rusx-fu3grP1Iv5Ho2nn-G" TargetMode="External"/><Relationship Id="rId175" Type="http://schemas.openxmlformats.org/officeDocument/2006/relationships/hyperlink" Target="https://drive.google.com/open?id=1XTqsGSY6JjacuQMVT4oCiQjjGAA6XufE" TargetMode="External"/><Relationship Id="rId174" Type="http://schemas.openxmlformats.org/officeDocument/2006/relationships/hyperlink" Target="https://drive.google.com/open?id=1gV-mX9JopEOhEQGNgo_HBtR9OZpjnUkW" TargetMode="External"/><Relationship Id="rId173" Type="http://schemas.openxmlformats.org/officeDocument/2006/relationships/hyperlink" Target="https://drive.google.com/open?id=19OM4s1jFWj3Ry6YhbabQ92liyF0K0cJJ" TargetMode="External"/><Relationship Id="rId179" Type="http://schemas.openxmlformats.org/officeDocument/2006/relationships/hyperlink" Target="https://drive.google.com/open?id=1N8uubE-PiszSWD8l4fe9z8nVjrznA7V-" TargetMode="External"/><Relationship Id="rId178" Type="http://schemas.openxmlformats.org/officeDocument/2006/relationships/hyperlink" Target="https://drive.google.com/open?id=1cRbdtrfRCyXkNFRY89S9_Wdk-ODnMOMF" TargetMode="External"/><Relationship Id="rId177" Type="http://schemas.openxmlformats.org/officeDocument/2006/relationships/hyperlink" Target="https://drive.google.com/open?id=169kUBGzRzHSdD-nxdbRsbqwkOKbRQMd7" TargetMode="External"/><Relationship Id="rId198" Type="http://schemas.openxmlformats.org/officeDocument/2006/relationships/hyperlink" Target="https://drive.google.com/open?id=1UyenKc_UhPFYQbmhK9syR300LYOchTT5" TargetMode="External"/><Relationship Id="rId197" Type="http://schemas.openxmlformats.org/officeDocument/2006/relationships/hyperlink" Target="https://drive.google.com/open?id=1sTHhhHmmMFsmDlQ0wanNx0ZwWENwiEr2" TargetMode="External"/><Relationship Id="rId196" Type="http://schemas.openxmlformats.org/officeDocument/2006/relationships/hyperlink" Target="https://drive.google.com/open?id=1d-zO9QwOv9QPD5lSge4jYmXucDtqE7xz" TargetMode="External"/><Relationship Id="rId195" Type="http://schemas.openxmlformats.org/officeDocument/2006/relationships/hyperlink" Target="https://drive.google.com/open?id=1dGePIkuHDXRjsgqH4fqvffTX35ea9cF-" TargetMode="External"/><Relationship Id="rId199" Type="http://schemas.openxmlformats.org/officeDocument/2006/relationships/hyperlink" Target="https://drive.google.com/open?id=1SOT2EgcItyaam4-yDJ6G9PcLNfxrAG8t" TargetMode="External"/><Relationship Id="rId150" Type="http://schemas.openxmlformats.org/officeDocument/2006/relationships/hyperlink" Target="https://drive.google.com/open?id=1he9nVRMPyHBOzwSqLo1PtKZ5JK2FkrMl" TargetMode="External"/><Relationship Id="rId392" Type="http://schemas.openxmlformats.org/officeDocument/2006/relationships/hyperlink" Target="https://drive.google.com/open?id=1DUDrPtXNXGU2aCdWnjNDnEVn2SVPjCWC" TargetMode="External"/><Relationship Id="rId391" Type="http://schemas.openxmlformats.org/officeDocument/2006/relationships/hyperlink" Target="https://drive.google.com/open?id=1JmRrCzIXulU0i0lgULUxKGuYcGoKRNJr" TargetMode="External"/><Relationship Id="rId390" Type="http://schemas.openxmlformats.org/officeDocument/2006/relationships/hyperlink" Target="https://drive.google.com/open?id=1r60uBdmRuVMqhXH3K_Xw90Q9SKG7ZFvQ" TargetMode="External"/><Relationship Id="rId1" Type="http://schemas.openxmlformats.org/officeDocument/2006/relationships/hyperlink" Target="https://drive.google.com/open?id=1WUwSgwIE-UB3ttSb9WvRnCg6qTnHMMIq" TargetMode="External"/><Relationship Id="rId2" Type="http://schemas.openxmlformats.org/officeDocument/2006/relationships/hyperlink" Target="https://drive.google.com/open?id=1cGbzaZh4OOVOwt9dHwX-evhkZm2bHVd7" TargetMode="External"/><Relationship Id="rId3" Type="http://schemas.openxmlformats.org/officeDocument/2006/relationships/hyperlink" Target="https://drive.google.com/open?id=1LeNETdX8-VHkD16maD3SelFRImXKgzkM" TargetMode="External"/><Relationship Id="rId149" Type="http://schemas.openxmlformats.org/officeDocument/2006/relationships/hyperlink" Target="https://drive.google.com/open?id=1mLS4QUdfsyWmFTH1ghd_RFCVjDOdEPcM" TargetMode="External"/><Relationship Id="rId4" Type="http://schemas.openxmlformats.org/officeDocument/2006/relationships/hyperlink" Target="https://drive.google.com/open?id=1LSUncHpZSKUqB1iF30KOvTy0WqOZM9MY" TargetMode="External"/><Relationship Id="rId148" Type="http://schemas.openxmlformats.org/officeDocument/2006/relationships/hyperlink" Target="https://drive.google.com/open?id=1azWCkbKfIhnOFOr_lLXS9LhAI65odqyG" TargetMode="External"/><Relationship Id="rId9" Type="http://schemas.openxmlformats.org/officeDocument/2006/relationships/hyperlink" Target="https://drive.google.com/open?id=1f4FTqpwuXut4Flv7Mwp--FU8ejF_UiLl" TargetMode="External"/><Relationship Id="rId143" Type="http://schemas.openxmlformats.org/officeDocument/2006/relationships/hyperlink" Target="https://drive.google.com/open?id=1Ku-tNh2Omm_hDDj-6jmtGJ7vR92Wr4Z1" TargetMode="External"/><Relationship Id="rId385" Type="http://schemas.openxmlformats.org/officeDocument/2006/relationships/hyperlink" Target="https://drive.google.com/open?id=1-71MOMmLL9LOjmoSKY3V_ScIYC7w0O4E" TargetMode="External"/><Relationship Id="rId142" Type="http://schemas.openxmlformats.org/officeDocument/2006/relationships/hyperlink" Target="https://drive.google.com/open?id=1AbF8BkckD07Yhk6UEpd7kbm5oNJ2PYDB" TargetMode="External"/><Relationship Id="rId384" Type="http://schemas.openxmlformats.org/officeDocument/2006/relationships/hyperlink" Target="https://drive.google.com/open?id=1SbOuHBl1f-vZFeNFpOagTgsveOGHWgIp" TargetMode="External"/><Relationship Id="rId141" Type="http://schemas.openxmlformats.org/officeDocument/2006/relationships/hyperlink" Target="https://drive.google.com/open?id=1liSt8a9WRNGj8-MPgYzwd78dwRLvH0G9" TargetMode="External"/><Relationship Id="rId383" Type="http://schemas.openxmlformats.org/officeDocument/2006/relationships/hyperlink" Target="https://drive.google.com/open?id=1cfg77ZsZh7aQIXrSL2ngii8EpIblyEIK" TargetMode="External"/><Relationship Id="rId140" Type="http://schemas.openxmlformats.org/officeDocument/2006/relationships/hyperlink" Target="https://drive.google.com/open?id=1htXyEp3gEaUxkrtw5xNEPRut6JS3A0Fw" TargetMode="External"/><Relationship Id="rId382" Type="http://schemas.openxmlformats.org/officeDocument/2006/relationships/hyperlink" Target="https://drive.google.com/open?id=1k1AEXumQBysdNivnf49e0KpOfnWBx3Y8" TargetMode="External"/><Relationship Id="rId5" Type="http://schemas.openxmlformats.org/officeDocument/2006/relationships/hyperlink" Target="https://drive.google.com/open?id=1b_z47WzwoJ6iZxSXgug7AAsmn4vvg-eF" TargetMode="External"/><Relationship Id="rId147" Type="http://schemas.openxmlformats.org/officeDocument/2006/relationships/hyperlink" Target="https://drive.google.com/open?id=1ixyvN2iIy7MjgWeZ29ECdNkvcGtAhLKZ" TargetMode="External"/><Relationship Id="rId389" Type="http://schemas.openxmlformats.org/officeDocument/2006/relationships/hyperlink" Target="https://drive.google.com/open?id=19zBVhR5p9-pTgr1wnilC8sH8ywyZ5zE8" TargetMode="External"/><Relationship Id="rId6" Type="http://schemas.openxmlformats.org/officeDocument/2006/relationships/hyperlink" Target="https://drive.google.com/open?id=1gA2yokVq4VuAf1ya0s60k6zqse7iLEOV" TargetMode="External"/><Relationship Id="rId146" Type="http://schemas.openxmlformats.org/officeDocument/2006/relationships/hyperlink" Target="https://drive.google.com/open?id=1_O5DbgJ5bWSnQnx-yv-TPrZBnfvio9aJ" TargetMode="External"/><Relationship Id="rId388" Type="http://schemas.openxmlformats.org/officeDocument/2006/relationships/hyperlink" Target="https://drive.google.com/open?id=1SNsPqOnRgEasjiHuIAl6yJhgiCwi3E97" TargetMode="External"/><Relationship Id="rId7" Type="http://schemas.openxmlformats.org/officeDocument/2006/relationships/hyperlink" Target="https://drive.google.com/open?id=1UJgSVEDeDtLJO4KqA-DSqvQrSuoFx3nn" TargetMode="External"/><Relationship Id="rId145" Type="http://schemas.openxmlformats.org/officeDocument/2006/relationships/hyperlink" Target="https://drive.google.com/open?id=1Qiq-NOgWj_r3NobQngZMC0LPxAC5UBzj" TargetMode="External"/><Relationship Id="rId387" Type="http://schemas.openxmlformats.org/officeDocument/2006/relationships/hyperlink" Target="https://drive.google.com/open?id=1K0sXm1gmxUaxTX1XB_I1EjpcAvvq47q0" TargetMode="External"/><Relationship Id="rId8" Type="http://schemas.openxmlformats.org/officeDocument/2006/relationships/hyperlink" Target="https://drive.google.com/open?id=1ZZsfNApD30qXXfLhZ8N3wDKumGvR-fjW" TargetMode="External"/><Relationship Id="rId144" Type="http://schemas.openxmlformats.org/officeDocument/2006/relationships/hyperlink" Target="https://drive.google.com/open?id=1QpvsP8SJfwXSoMgHeua93P9Lf-0kGnJE" TargetMode="External"/><Relationship Id="rId386" Type="http://schemas.openxmlformats.org/officeDocument/2006/relationships/hyperlink" Target="https://drive.google.com/open?id=1wLDefUDfINidk2JLXR0YhqwYNqGuekNB" TargetMode="External"/><Relationship Id="rId381" Type="http://schemas.openxmlformats.org/officeDocument/2006/relationships/hyperlink" Target="https://drive.google.com/open?id=17xtcORiw7vEgYh5xUNCLchc6fS2nLSZW" TargetMode="External"/><Relationship Id="rId380" Type="http://schemas.openxmlformats.org/officeDocument/2006/relationships/hyperlink" Target="https://drive.google.com/open?id=1IhL36iiMQSrp57oc4phlmOWvk8ZfsDwu" TargetMode="External"/><Relationship Id="rId139" Type="http://schemas.openxmlformats.org/officeDocument/2006/relationships/hyperlink" Target="https://drive.google.com/open?id=1wqxbrrwmrrqsAnnfM5BeP2wEtTKyGmsx" TargetMode="External"/><Relationship Id="rId138" Type="http://schemas.openxmlformats.org/officeDocument/2006/relationships/hyperlink" Target="https://drive.google.com/open?id=1OoII-ZfJaUfLdZYpDNkLyB_7yT_YAl7A" TargetMode="External"/><Relationship Id="rId137" Type="http://schemas.openxmlformats.org/officeDocument/2006/relationships/hyperlink" Target="https://drive.google.com/open?id=1z2MfhvklkiK6mfdSbFoBfPdQ1ZvaiCcu" TargetMode="External"/><Relationship Id="rId379" Type="http://schemas.openxmlformats.org/officeDocument/2006/relationships/hyperlink" Target="https://drive.google.com/open?id=1fRqfQNNsESnGhTv7u2O6Qgp6q1m6DpUt" TargetMode="External"/><Relationship Id="rId132" Type="http://schemas.openxmlformats.org/officeDocument/2006/relationships/hyperlink" Target="https://drive.google.com/open?id=1GqiDwKLanQbAaH8Hb3HirmG6Y4aciHaZ" TargetMode="External"/><Relationship Id="rId374" Type="http://schemas.openxmlformats.org/officeDocument/2006/relationships/hyperlink" Target="https://drive.google.com/open?id=1vD0e6w0T4CWa46o7ZGCfxBy9ic9EhdGN" TargetMode="External"/><Relationship Id="rId131" Type="http://schemas.openxmlformats.org/officeDocument/2006/relationships/hyperlink" Target="https://drive.google.com/open?id=1090zxaRgAc_53ecplClqZjAYNCPyVpUQ" TargetMode="External"/><Relationship Id="rId373" Type="http://schemas.openxmlformats.org/officeDocument/2006/relationships/hyperlink" Target="https://drive.google.com/open?id=1FYEkA_7oMLXefEgToJGUdu_2cEQiYaWI" TargetMode="External"/><Relationship Id="rId130" Type="http://schemas.openxmlformats.org/officeDocument/2006/relationships/hyperlink" Target="https://drive.google.com/open?id=1e97S4dxoTB2BMjQTrA_wRLogUq5vrvYN" TargetMode="External"/><Relationship Id="rId372" Type="http://schemas.openxmlformats.org/officeDocument/2006/relationships/hyperlink" Target="https://drive.google.com/open?id=1PO1BLJeqKY2qUrTyggtsvE_ZvAIuy4bd" TargetMode="External"/><Relationship Id="rId371" Type="http://schemas.openxmlformats.org/officeDocument/2006/relationships/hyperlink" Target="https://drive.google.com/open?id=1UaMbicluQ8hX-INQ-4IyGUOv0Zvn-SQP" TargetMode="External"/><Relationship Id="rId136" Type="http://schemas.openxmlformats.org/officeDocument/2006/relationships/hyperlink" Target="https://drive.google.com/open?id=1L1rW_qhZnBGmz5mYD7SV_pkqYpZmNC06" TargetMode="External"/><Relationship Id="rId378" Type="http://schemas.openxmlformats.org/officeDocument/2006/relationships/hyperlink" Target="https://drive.google.com/open?id=1RjU2UWzkEVgOltbZcxO-js7b45beK557" TargetMode="External"/><Relationship Id="rId135" Type="http://schemas.openxmlformats.org/officeDocument/2006/relationships/hyperlink" Target="https://drive.google.com/open?id=1foSkscwZNFTJ5CZEPAtiVDdRGF2U1sAK" TargetMode="External"/><Relationship Id="rId377" Type="http://schemas.openxmlformats.org/officeDocument/2006/relationships/hyperlink" Target="https://drive.google.com/open?id=14BjuRhWkY5B6kvyLjQBu5gDInP9iSpIe" TargetMode="External"/><Relationship Id="rId134" Type="http://schemas.openxmlformats.org/officeDocument/2006/relationships/hyperlink" Target="https://drive.google.com/open?id=1ovqHA3lQ1TjLIcsYA7lwzeI49Byvp4h7" TargetMode="External"/><Relationship Id="rId376" Type="http://schemas.openxmlformats.org/officeDocument/2006/relationships/hyperlink" Target="https://drive.google.com/open?id=1la2_U8LxFRERUBOXJXRgxrLa-BylNICZ" TargetMode="External"/><Relationship Id="rId133" Type="http://schemas.openxmlformats.org/officeDocument/2006/relationships/hyperlink" Target="https://drive.google.com/open?id=18LS6hKa6JGqc-BQcIkpF3NEYRB0z8GXF" TargetMode="External"/><Relationship Id="rId375" Type="http://schemas.openxmlformats.org/officeDocument/2006/relationships/hyperlink" Target="https://drive.google.com/open?id=1SEm5q1SArYuLxrDgd6n1JS-4Hyo7_Jhq" TargetMode="External"/><Relationship Id="rId172" Type="http://schemas.openxmlformats.org/officeDocument/2006/relationships/hyperlink" Target="https://drive.google.com/open?id=1kw_zml0v7F9FxhQ9vnGXBjhmNbJPglN0" TargetMode="External"/><Relationship Id="rId171" Type="http://schemas.openxmlformats.org/officeDocument/2006/relationships/hyperlink" Target="https://drive.google.com/open?id=16yxIh5L-J2-LDRvRdA7f86SjbDzGO1hX" TargetMode="External"/><Relationship Id="rId170" Type="http://schemas.openxmlformats.org/officeDocument/2006/relationships/hyperlink" Target="https://drive.google.com/open?id=11Egf5TVoMs7FztIL1eUCYRs0laMwrFFI" TargetMode="External"/><Relationship Id="rId165" Type="http://schemas.openxmlformats.org/officeDocument/2006/relationships/hyperlink" Target="https://drive.google.com/open?id=14SPlWJQzRiIgdJeWbgda7RlSsc2ZiAXR" TargetMode="External"/><Relationship Id="rId164" Type="http://schemas.openxmlformats.org/officeDocument/2006/relationships/hyperlink" Target="https://drive.google.com/open?id=1kSiOXOfNSrtZUMacMW5fd8r57ICjnIRH" TargetMode="External"/><Relationship Id="rId163" Type="http://schemas.openxmlformats.org/officeDocument/2006/relationships/hyperlink" Target="https://drive.google.com/open?id=1tgqsQ0pnPJ-JHOhwg8bColP0wc2jrcdj" TargetMode="External"/><Relationship Id="rId162" Type="http://schemas.openxmlformats.org/officeDocument/2006/relationships/hyperlink" Target="https://drive.google.com/open?id=1iGBKfE0BMApO8xTtl459n6yqQSXANwUi" TargetMode="External"/><Relationship Id="rId169" Type="http://schemas.openxmlformats.org/officeDocument/2006/relationships/hyperlink" Target="https://drive.google.com/open?id=16hbtnqjSOa-J2kgOz4pncllMlNtwRDlE" TargetMode="External"/><Relationship Id="rId168" Type="http://schemas.openxmlformats.org/officeDocument/2006/relationships/hyperlink" Target="https://drive.google.com/open?id=1xeuHMUCX_8QmZfUT9zpiFFtmMNxzlDMw" TargetMode="External"/><Relationship Id="rId167" Type="http://schemas.openxmlformats.org/officeDocument/2006/relationships/hyperlink" Target="https://drive.google.com/open?id=1LAZ9_XjQc5x2gt5WdxYFRxwNzpyLzq_Y" TargetMode="External"/><Relationship Id="rId166" Type="http://schemas.openxmlformats.org/officeDocument/2006/relationships/hyperlink" Target="https://drive.google.com/open?id=1ccKxfvQKsleDfrEeUN3b9ucyMuUlmM6S" TargetMode="External"/><Relationship Id="rId161" Type="http://schemas.openxmlformats.org/officeDocument/2006/relationships/hyperlink" Target="https://drive.google.com/open?id=1XRR-7Lv8NpokVMvj0qO__Muvy8IvbBJh" TargetMode="External"/><Relationship Id="rId160" Type="http://schemas.openxmlformats.org/officeDocument/2006/relationships/hyperlink" Target="https://drive.google.com/open?id=1l1XefUJiPuB99kxRJkSbOoccgy2aGWdf" TargetMode="External"/><Relationship Id="rId159" Type="http://schemas.openxmlformats.org/officeDocument/2006/relationships/hyperlink" Target="https://drive.google.com/open?id=1IROOWnI4qB-OQ9TRoelvFsjmEx5DrTgS" TargetMode="External"/><Relationship Id="rId154" Type="http://schemas.openxmlformats.org/officeDocument/2006/relationships/hyperlink" Target="https://drive.google.com/open?id=1Q8TNSXHBxscTDGLLeGLxSpiy75bjzHvt" TargetMode="External"/><Relationship Id="rId396" Type="http://schemas.openxmlformats.org/officeDocument/2006/relationships/hyperlink" Target="https://drive.google.com/open?id=1XXI_d8pFgNlg5kNTCZN8kSWkZc1SB2kg" TargetMode="External"/><Relationship Id="rId153" Type="http://schemas.openxmlformats.org/officeDocument/2006/relationships/hyperlink" Target="https://drive.google.com/open?id=1-1qmi4_gGHveiCn3LaQe41_wp_suQSjl" TargetMode="External"/><Relationship Id="rId395" Type="http://schemas.openxmlformats.org/officeDocument/2006/relationships/hyperlink" Target="https://drive.google.com/open?id=1Taf7hGzhxFHS7GqD0l53qhtwZ5hkYGvD" TargetMode="External"/><Relationship Id="rId152" Type="http://schemas.openxmlformats.org/officeDocument/2006/relationships/hyperlink" Target="https://drive.google.com/open?id=1Bti9lRbMDHfli-i5L-nWr_LVvEbC6cMx" TargetMode="External"/><Relationship Id="rId394" Type="http://schemas.openxmlformats.org/officeDocument/2006/relationships/hyperlink" Target="https://drive.google.com/open?id=137sGeTd1I63ZRN4moLObNoXHP94uEVu6" TargetMode="External"/><Relationship Id="rId151" Type="http://schemas.openxmlformats.org/officeDocument/2006/relationships/hyperlink" Target="https://drive.google.com/open?id=1sRRUbkVfV78hXhD8Nw3g5utkgWK9Sm_e" TargetMode="External"/><Relationship Id="rId393" Type="http://schemas.openxmlformats.org/officeDocument/2006/relationships/hyperlink" Target="https://drive.google.com/open?id=1O9GYjURmjT0GCRaKS_xPCBj0kiGjWChh" TargetMode="External"/><Relationship Id="rId158" Type="http://schemas.openxmlformats.org/officeDocument/2006/relationships/hyperlink" Target="https://drive.google.com/open?id=1XkA0FWw2-KGb9tLIu6ow6T8afJ_nWWf9" TargetMode="External"/><Relationship Id="rId157" Type="http://schemas.openxmlformats.org/officeDocument/2006/relationships/hyperlink" Target="https://drive.google.com/open?id=1QFXBEvgLhNCWcUz50h6aA4NHuckXwCVJ" TargetMode="External"/><Relationship Id="rId399" Type="http://schemas.openxmlformats.org/officeDocument/2006/relationships/hyperlink" Target="https://drive.google.com/open?id=1o9r9uwADSEqw0E1HNySXeOsK-dpOjHiZ" TargetMode="External"/><Relationship Id="rId156" Type="http://schemas.openxmlformats.org/officeDocument/2006/relationships/hyperlink" Target="https://drive.google.com/open?id=1Cm__a7_Ri4huopHK4fiVA_sSpZG7f-Mp" TargetMode="External"/><Relationship Id="rId398" Type="http://schemas.openxmlformats.org/officeDocument/2006/relationships/hyperlink" Target="https://drive.google.com/open?id=1XBmCfw39KFPqtgrfVKqrr1MCvSR6Y2Bz" TargetMode="External"/><Relationship Id="rId155" Type="http://schemas.openxmlformats.org/officeDocument/2006/relationships/hyperlink" Target="https://drive.google.com/open?id=1_d9F7F9jCVWUQNtWhfF3wrgGnFEv4s5O" TargetMode="External"/><Relationship Id="rId397" Type="http://schemas.openxmlformats.org/officeDocument/2006/relationships/hyperlink" Target="https://drive.google.com/open?id=1TuwoQOuiGvTzK7yx1HRltPL1QaOQABVT" TargetMode="External"/><Relationship Id="rId808" Type="http://schemas.openxmlformats.org/officeDocument/2006/relationships/hyperlink" Target="https://drive.google.com/open?id=1sTIQIoz2jF6DVwMKbOZRrL3Ooi5U9a7S" TargetMode="External"/><Relationship Id="rId807" Type="http://schemas.openxmlformats.org/officeDocument/2006/relationships/hyperlink" Target="https://drive.google.com/open?id=1FBQnXLEypQh8Fm-fZTfXZ5dfFW5XNV1t" TargetMode="External"/><Relationship Id="rId806" Type="http://schemas.openxmlformats.org/officeDocument/2006/relationships/hyperlink" Target="https://drive.google.com/open?id=10IwwVpt2lqRhpyGNch4YbZ7WwxAM9834" TargetMode="External"/><Relationship Id="rId805" Type="http://schemas.openxmlformats.org/officeDocument/2006/relationships/hyperlink" Target="https://drive.google.com/open?id=1YYOl-nwJLfOnKz5Mbpr1xp7CpMGIDyJy" TargetMode="External"/><Relationship Id="rId809" Type="http://schemas.openxmlformats.org/officeDocument/2006/relationships/hyperlink" Target="https://drive.google.com/open?id=1vQIxl94cmrnKH7WzG3Tbh6snMBQXPfn3" TargetMode="External"/><Relationship Id="rId800" Type="http://schemas.openxmlformats.org/officeDocument/2006/relationships/hyperlink" Target="https://drive.google.com/open?id=1HLIvwrUHiWG865y0vkMWeZKGAF1hG91M" TargetMode="External"/><Relationship Id="rId804" Type="http://schemas.openxmlformats.org/officeDocument/2006/relationships/hyperlink" Target="https://drive.google.com/open?id=12jB4xCBN27VRSzpIri98eeo2YyUr2oqP" TargetMode="External"/><Relationship Id="rId803" Type="http://schemas.openxmlformats.org/officeDocument/2006/relationships/hyperlink" Target="https://drive.google.com/open?id=1Iq_uplfYZC7j6Ag8tnLz5CxuKnHUHkcg" TargetMode="External"/><Relationship Id="rId802" Type="http://schemas.openxmlformats.org/officeDocument/2006/relationships/hyperlink" Target="https://drive.google.com/open?id=1qwJmnVmPOWrclxveir4fUmZuBCKPEQVs" TargetMode="External"/><Relationship Id="rId801" Type="http://schemas.openxmlformats.org/officeDocument/2006/relationships/hyperlink" Target="https://drive.google.com/open?id=1gyps8fekvJ_9y2PHPod3MXCrhFbtOML-" TargetMode="External"/><Relationship Id="rId40" Type="http://schemas.openxmlformats.org/officeDocument/2006/relationships/hyperlink" Target="https://drive.google.com/open?id=10PhfSWOIvmrJ0s58rM5JJH5B3OLtmth5" TargetMode="External"/><Relationship Id="rId42" Type="http://schemas.openxmlformats.org/officeDocument/2006/relationships/hyperlink" Target="https://drive.google.com/open?id=1gowrVq3Om19E-q2-jqvSB99oFaYK-9xq" TargetMode="External"/><Relationship Id="rId41" Type="http://schemas.openxmlformats.org/officeDocument/2006/relationships/hyperlink" Target="https://drive.google.com/open?id=1fSl6He8j0oeYNRHnW3qjPEC0RyEBTxY1" TargetMode="External"/><Relationship Id="rId44" Type="http://schemas.openxmlformats.org/officeDocument/2006/relationships/hyperlink" Target="https://drive.google.com/open?id=19hDJMYEM6fICnLtBie-CXrRAwJnDRy-p" TargetMode="External"/><Relationship Id="rId43" Type="http://schemas.openxmlformats.org/officeDocument/2006/relationships/hyperlink" Target="https://drive.google.com/open?id=1Zsax98VoMTAMWRr0wkUBc_tLAg35q0fA" TargetMode="External"/><Relationship Id="rId46" Type="http://schemas.openxmlformats.org/officeDocument/2006/relationships/hyperlink" Target="https://drive.google.com/open?id=1gTT0RsNBBZn6XUyJyoyxmu3-95bHy1Tp" TargetMode="External"/><Relationship Id="rId45" Type="http://schemas.openxmlformats.org/officeDocument/2006/relationships/hyperlink" Target="https://drive.google.com/open?id=1rgb19xltYgg416lawh0oZ2Wqk4ST8bo_" TargetMode="External"/><Relationship Id="rId509" Type="http://schemas.openxmlformats.org/officeDocument/2006/relationships/hyperlink" Target="https://drive.google.com/open?id=1TGYdpIvxHFVwNXEkYVqSsIr6JA4vW4DM" TargetMode="External"/><Relationship Id="rId508" Type="http://schemas.openxmlformats.org/officeDocument/2006/relationships/hyperlink" Target="https://drive.google.com/open?id=1QzazN02XpYOlOg0TWLt5m3cLs_Mq0UM-" TargetMode="External"/><Relationship Id="rId503" Type="http://schemas.openxmlformats.org/officeDocument/2006/relationships/hyperlink" Target="https://drive.google.com/open?id=1gYKdiXN2TFkHM4czHZUDm2dyqyLjZv2Z" TargetMode="External"/><Relationship Id="rId745" Type="http://schemas.openxmlformats.org/officeDocument/2006/relationships/hyperlink" Target="https://drive.google.com/open?id=1iL0VTlhvLjAMKC5ro-v4oZgKjgxsG24F" TargetMode="External"/><Relationship Id="rId502" Type="http://schemas.openxmlformats.org/officeDocument/2006/relationships/hyperlink" Target="https://drive.google.com/open?id=1DfzSpzLpFb3pVYQZcPGgkcE50tQ4aGDR" TargetMode="External"/><Relationship Id="rId744" Type="http://schemas.openxmlformats.org/officeDocument/2006/relationships/hyperlink" Target="https://drive.google.com/open?id=1CWH23mELipesNnzORU_37Jtxtez_8G9D" TargetMode="External"/><Relationship Id="rId501" Type="http://schemas.openxmlformats.org/officeDocument/2006/relationships/hyperlink" Target="https://drive.google.com/open?id=1n1VYhZbIkxJWtGn0cPNrLCmsKLrZwPWh" TargetMode="External"/><Relationship Id="rId743" Type="http://schemas.openxmlformats.org/officeDocument/2006/relationships/hyperlink" Target="https://drive.google.com/open?id=1sBvcXS3I-Lx8LsLwt_rvrlhgT5JsY80z" TargetMode="External"/><Relationship Id="rId500" Type="http://schemas.openxmlformats.org/officeDocument/2006/relationships/hyperlink" Target="https://drive.google.com/open?id=1_kkHBSrUVbZc0bPsmYUueLYgE-EVbtOI" TargetMode="External"/><Relationship Id="rId742" Type="http://schemas.openxmlformats.org/officeDocument/2006/relationships/hyperlink" Target="https://drive.google.com/open?id=1ZWuZ3WziuhtjiO_MOFS36neFPGbtSdvl" TargetMode="External"/><Relationship Id="rId507" Type="http://schemas.openxmlformats.org/officeDocument/2006/relationships/hyperlink" Target="https://drive.google.com/open?id=1n50BdrpqCSVdzhoCaHPIJjz43BF4FIXD" TargetMode="External"/><Relationship Id="rId749" Type="http://schemas.openxmlformats.org/officeDocument/2006/relationships/hyperlink" Target="https://drive.google.com/open?id=1Kg5hdxmpr7sXCkFH6vaUsRkQpVwFIxRs" TargetMode="External"/><Relationship Id="rId506" Type="http://schemas.openxmlformats.org/officeDocument/2006/relationships/hyperlink" Target="https://drive.google.com/open?id=1L3_fAUqvoQoVfkmCCtREdDc9fA1K4AGN" TargetMode="External"/><Relationship Id="rId748" Type="http://schemas.openxmlformats.org/officeDocument/2006/relationships/hyperlink" Target="https://drive.google.com/open?id=1MNB3GkC3nAjOfhWwjWR3qxllSBPcRkIy" TargetMode="External"/><Relationship Id="rId505" Type="http://schemas.openxmlformats.org/officeDocument/2006/relationships/hyperlink" Target="https://drive.google.com/open?id=1OJDJwnI-aniY0RamOxUOaK8upMBvkJKC" TargetMode="External"/><Relationship Id="rId747" Type="http://schemas.openxmlformats.org/officeDocument/2006/relationships/hyperlink" Target="https://drive.google.com/open?id=1CXoq6LbBiLl04tA4sbPy8sRyD-hbCRQy" TargetMode="External"/><Relationship Id="rId504" Type="http://schemas.openxmlformats.org/officeDocument/2006/relationships/hyperlink" Target="https://drive.google.com/open?id=1HES9YrnnJjTAb2t3j0k6-eyC5hRKpkO6" TargetMode="External"/><Relationship Id="rId746" Type="http://schemas.openxmlformats.org/officeDocument/2006/relationships/hyperlink" Target="https://drive.google.com/open?id=16x91RuyBL_2fqDV1ZaC8Ezl3rW6Jjd2d" TargetMode="External"/><Relationship Id="rId48" Type="http://schemas.openxmlformats.org/officeDocument/2006/relationships/hyperlink" Target="https://drive.google.com/open?id=17zNbxEaMc4x4034mzsAJlUO0RcluzSwd" TargetMode="External"/><Relationship Id="rId47" Type="http://schemas.openxmlformats.org/officeDocument/2006/relationships/hyperlink" Target="https://drive.google.com/open?id=1MdQF7mIvGGruRU5si6pxj2sfzDXlur8D" TargetMode="External"/><Relationship Id="rId49" Type="http://schemas.openxmlformats.org/officeDocument/2006/relationships/hyperlink" Target="https://drive.google.com/open?id=1yz7soltM4D57ehA98Zz9aeVoaWn4Tyba" TargetMode="External"/><Relationship Id="rId741" Type="http://schemas.openxmlformats.org/officeDocument/2006/relationships/hyperlink" Target="https://drive.google.com/open?id=1zRRhvk6owQBokvuBj37L1sQGBeDaasxk" TargetMode="External"/><Relationship Id="rId740" Type="http://schemas.openxmlformats.org/officeDocument/2006/relationships/hyperlink" Target="https://drive.google.com/open?id=1wPaDn9ayhI01BiOc9k6w40yA9zHmQ4HM" TargetMode="External"/><Relationship Id="rId31" Type="http://schemas.openxmlformats.org/officeDocument/2006/relationships/hyperlink" Target="https://drive.google.com/open?id=17skqk6azwTQgse1qyIZff9qBG6IIHs-G" TargetMode="External"/><Relationship Id="rId30" Type="http://schemas.openxmlformats.org/officeDocument/2006/relationships/hyperlink" Target="https://drive.google.com/open?id=1VrVVnTbcy3ZZonXfWc3E6MrePLErcGGc" TargetMode="External"/><Relationship Id="rId33" Type="http://schemas.openxmlformats.org/officeDocument/2006/relationships/hyperlink" Target="https://drive.google.com/open?id=19WOBwrkTQBCRc7MFaQqrLqIFJOHT2tQC" TargetMode="External"/><Relationship Id="rId32" Type="http://schemas.openxmlformats.org/officeDocument/2006/relationships/hyperlink" Target="https://drive.google.com/open?id=1hFl2xFeqUwa0uhK7GVtyF8Bf6X2AdiRE" TargetMode="External"/><Relationship Id="rId35" Type="http://schemas.openxmlformats.org/officeDocument/2006/relationships/hyperlink" Target="https://drive.google.com/open?id=1olFAOFPCt_IVmWdiO2Hx6BAeHVNdng5d" TargetMode="External"/><Relationship Id="rId34" Type="http://schemas.openxmlformats.org/officeDocument/2006/relationships/hyperlink" Target="https://drive.google.com/open?id=1-iY0wgl5ct7oJlZw3ajydbNn5zzTdq36" TargetMode="External"/><Relationship Id="rId739" Type="http://schemas.openxmlformats.org/officeDocument/2006/relationships/hyperlink" Target="https://drive.google.com/open?id=1wlX_vs3sTE0-WRIEPvNpCvE-PRVY1zGd" TargetMode="External"/><Relationship Id="rId734" Type="http://schemas.openxmlformats.org/officeDocument/2006/relationships/hyperlink" Target="https://drive.google.com/open?id=1cH4qvAhYAYYR1LWEwh_UrrKsCgUthlCs" TargetMode="External"/><Relationship Id="rId733" Type="http://schemas.openxmlformats.org/officeDocument/2006/relationships/hyperlink" Target="https://drive.google.com/open?id=1Z9ubfv6nfQeyVe5jrWJvTSROHgGADSr3" TargetMode="External"/><Relationship Id="rId732" Type="http://schemas.openxmlformats.org/officeDocument/2006/relationships/hyperlink" Target="https://drive.google.com/open?id=139NOBy379cgY3NZLqLl86j5VdveFS_JM" TargetMode="External"/><Relationship Id="rId731" Type="http://schemas.openxmlformats.org/officeDocument/2006/relationships/hyperlink" Target="https://drive.google.com/open?id=1dVVhCoEDvX07QXD9UtfvgitxMIK29eo2" TargetMode="External"/><Relationship Id="rId738" Type="http://schemas.openxmlformats.org/officeDocument/2006/relationships/hyperlink" Target="https://drive.google.com/open?id=1Gy_PepF0xolpLlNWsVkOk4TS1TSQnfvV" TargetMode="External"/><Relationship Id="rId737" Type="http://schemas.openxmlformats.org/officeDocument/2006/relationships/hyperlink" Target="https://drive.google.com/open?id=1yNWmi4rSnaoIfzLyDpun0ie8oA-Q8FB1" TargetMode="External"/><Relationship Id="rId736" Type="http://schemas.openxmlformats.org/officeDocument/2006/relationships/hyperlink" Target="https://drive.google.com/open?id=1TpS-13xxoraQy3p8MnfgSXoLb8V8JxB7" TargetMode="External"/><Relationship Id="rId735" Type="http://schemas.openxmlformats.org/officeDocument/2006/relationships/hyperlink" Target="https://drive.google.com/open?id=1N5sAI1CmTXnos8_Nci5vYdizPx-GeDB8" TargetMode="External"/><Relationship Id="rId37" Type="http://schemas.openxmlformats.org/officeDocument/2006/relationships/hyperlink" Target="https://drive.google.com/open?id=1_-A5a02TqrvZBzrC4TrcHlORf_VB4v-o" TargetMode="External"/><Relationship Id="rId36" Type="http://schemas.openxmlformats.org/officeDocument/2006/relationships/hyperlink" Target="https://drive.google.com/open?id=1dd8YMpNZLO2cujfJdn9KeMjugkkh74ee" TargetMode="External"/><Relationship Id="rId39" Type="http://schemas.openxmlformats.org/officeDocument/2006/relationships/hyperlink" Target="https://drive.google.com/open?id=1sOahDj4s6I1VsDtmXGnYAwy3norlF0JF" TargetMode="External"/><Relationship Id="rId38" Type="http://schemas.openxmlformats.org/officeDocument/2006/relationships/hyperlink" Target="https://drive.google.com/open?id=18hYvYW_AmJ2ZM6RblhtHiNlbP3HwChdS" TargetMode="External"/><Relationship Id="rId730" Type="http://schemas.openxmlformats.org/officeDocument/2006/relationships/hyperlink" Target="https://drive.google.com/open?id=1XRjxs5N63YK46dz6b2C-7FbftS68w9xd" TargetMode="External"/><Relationship Id="rId20" Type="http://schemas.openxmlformats.org/officeDocument/2006/relationships/hyperlink" Target="https://drive.google.com/open?id=1gaIxrN1qXP40-jsFIzoSBfudyb7bBmOg" TargetMode="External"/><Relationship Id="rId22" Type="http://schemas.openxmlformats.org/officeDocument/2006/relationships/hyperlink" Target="https://drive.google.com/open?id=1eNhBy16BhSnJr2uP0a7m9ZzJRcvwsqMM" TargetMode="External"/><Relationship Id="rId21" Type="http://schemas.openxmlformats.org/officeDocument/2006/relationships/hyperlink" Target="https://drive.google.com/open?id=1TnlOhvylF7q39Uo_O6YtICB_GlFy6m7s" TargetMode="External"/><Relationship Id="rId24" Type="http://schemas.openxmlformats.org/officeDocument/2006/relationships/hyperlink" Target="https://drive.google.com/open?id=199I7nSvN5Uvu0pbpZhrKEq8HL53me0CL" TargetMode="External"/><Relationship Id="rId23" Type="http://schemas.openxmlformats.org/officeDocument/2006/relationships/hyperlink" Target="https://drive.google.com/open?id=1NSvhiOoZV-cUKBCidm19ChWbrinZvV5W" TargetMode="External"/><Relationship Id="rId525" Type="http://schemas.openxmlformats.org/officeDocument/2006/relationships/hyperlink" Target="https://drive.google.com/open?id=1K_uYH4hc-gWPlTQhPzBHmOeUU235zxxq" TargetMode="External"/><Relationship Id="rId767" Type="http://schemas.openxmlformats.org/officeDocument/2006/relationships/hyperlink" Target="https://drive.google.com/open?id=11vyhDny681P1wcNYcGXAtzCP2DnleHqP" TargetMode="External"/><Relationship Id="rId524" Type="http://schemas.openxmlformats.org/officeDocument/2006/relationships/hyperlink" Target="https://drive.google.com/open?id=1RCknhhyPoP2BSZ6QcgRHiLAbmKyZDoDf" TargetMode="External"/><Relationship Id="rId766" Type="http://schemas.openxmlformats.org/officeDocument/2006/relationships/hyperlink" Target="https://drive.google.com/open?id=1Q2RihUwgOUNjg-lrajIgssaoYbrrl1zD" TargetMode="External"/><Relationship Id="rId523" Type="http://schemas.openxmlformats.org/officeDocument/2006/relationships/hyperlink" Target="https://drive.google.com/open?id=1OXkr88SKvNRZeA2tqXcLKrdAbDotXLU2" TargetMode="External"/><Relationship Id="rId765" Type="http://schemas.openxmlformats.org/officeDocument/2006/relationships/hyperlink" Target="https://drive.google.com/open?id=1-IseqobqROzcFNLhUSpKdq1nmBIqeJAe" TargetMode="External"/><Relationship Id="rId522" Type="http://schemas.openxmlformats.org/officeDocument/2006/relationships/hyperlink" Target="https://drive.google.com/open?id=1iVUqzdr22tmC86oOEpBYmT7JvMPMsms-" TargetMode="External"/><Relationship Id="rId764" Type="http://schemas.openxmlformats.org/officeDocument/2006/relationships/hyperlink" Target="https://drive.google.com/open?id=1EdEhCnsrfLbBPh1mcSgvLQkSXqEQ9lJb" TargetMode="External"/><Relationship Id="rId529" Type="http://schemas.openxmlformats.org/officeDocument/2006/relationships/hyperlink" Target="https://drive.google.com/open?id=1wjcyCgw6gHgZnfmSKVRqJ3Dsk3MdWxDA" TargetMode="External"/><Relationship Id="rId528" Type="http://schemas.openxmlformats.org/officeDocument/2006/relationships/hyperlink" Target="https://drive.google.com/open?id=1LBRbkTcQdKz7f7Cgjva-M5fCxAvi-5w5" TargetMode="External"/><Relationship Id="rId527" Type="http://schemas.openxmlformats.org/officeDocument/2006/relationships/hyperlink" Target="https://drive.google.com/open?id=1CttFjVG4X5VkVX-AbAjq0E8SLPr9EdVQ" TargetMode="External"/><Relationship Id="rId769" Type="http://schemas.openxmlformats.org/officeDocument/2006/relationships/hyperlink" Target="https://drive.google.com/open?id=17IjYRI22Dz9nSvHcGXtPtG0o9BXPLBmC" TargetMode="External"/><Relationship Id="rId526" Type="http://schemas.openxmlformats.org/officeDocument/2006/relationships/hyperlink" Target="https://drive.google.com/open?id=1bThXk5UsqVVwTJmLEgcCfyDhvKlxo56h" TargetMode="External"/><Relationship Id="rId768" Type="http://schemas.openxmlformats.org/officeDocument/2006/relationships/hyperlink" Target="https://drive.google.com/open?id=1iJUd9ordIRt4-xoKE-ST7_CXJ2C_GJga" TargetMode="External"/><Relationship Id="rId26" Type="http://schemas.openxmlformats.org/officeDocument/2006/relationships/hyperlink" Target="https://drive.google.com/open?id=1FSV4yMv-IyNkxDhrzAFlrtj9aom4E--K" TargetMode="External"/><Relationship Id="rId25" Type="http://schemas.openxmlformats.org/officeDocument/2006/relationships/hyperlink" Target="https://drive.google.com/open?id=1L2tJOqcpRSO31Ztj1fks9F4XGwE9yzVf" TargetMode="External"/><Relationship Id="rId28" Type="http://schemas.openxmlformats.org/officeDocument/2006/relationships/hyperlink" Target="https://drive.google.com/open?id=1yc0QJQdqDOKU5R_gpFntnF-5PZ-wSf0T" TargetMode="External"/><Relationship Id="rId27" Type="http://schemas.openxmlformats.org/officeDocument/2006/relationships/hyperlink" Target="https://drive.google.com/open?id=1e2BxLF6nGo2Yo2SGVDIL9kJbmbLDdnyI" TargetMode="External"/><Relationship Id="rId521" Type="http://schemas.openxmlformats.org/officeDocument/2006/relationships/hyperlink" Target="https://drive.google.com/open?id=18HUvQmQh73oOmDb_9uXRLy1X7skItIp0" TargetMode="External"/><Relationship Id="rId763" Type="http://schemas.openxmlformats.org/officeDocument/2006/relationships/hyperlink" Target="https://drive.google.com/open?id=1L7MqFpy18viLXDqdy0wVeJuDjhjW17gx" TargetMode="External"/><Relationship Id="rId29" Type="http://schemas.openxmlformats.org/officeDocument/2006/relationships/hyperlink" Target="https://drive.google.com/open?id=137Wv8WjKHPZA5N6s1U5-3Kg0U2kpxypE" TargetMode="External"/><Relationship Id="rId520" Type="http://schemas.openxmlformats.org/officeDocument/2006/relationships/hyperlink" Target="https://drive.google.com/open?id=1Phl2EhTp8PZfaDpFgUeOv3Yp-8OJHdNE" TargetMode="External"/><Relationship Id="rId762" Type="http://schemas.openxmlformats.org/officeDocument/2006/relationships/hyperlink" Target="https://drive.google.com/open?id=1l_2bTC0DQfUHMUNFDU9kw6zgHUuc8upd" TargetMode="External"/><Relationship Id="rId761" Type="http://schemas.openxmlformats.org/officeDocument/2006/relationships/hyperlink" Target="https://drive.google.com/open?id=1k70RcyOtRQ0tRwg0xY1Gg5P2sLQI8PLw" TargetMode="External"/><Relationship Id="rId760" Type="http://schemas.openxmlformats.org/officeDocument/2006/relationships/hyperlink" Target="https://drive.google.com/open?id=1rsNaMgDLx0rFcnISiWYiSJVm9Y0XxNCE" TargetMode="External"/><Relationship Id="rId11" Type="http://schemas.openxmlformats.org/officeDocument/2006/relationships/hyperlink" Target="https://drive.google.com/open?id=1BQbdfzKOO_T1CEZESBpH9kUWCt-zsT2Q" TargetMode="External"/><Relationship Id="rId10" Type="http://schemas.openxmlformats.org/officeDocument/2006/relationships/hyperlink" Target="https://drive.google.com/open?id=1gxRwqS3ghNp5nrj4devn3Nc6cdZHd5a3" TargetMode="External"/><Relationship Id="rId13" Type="http://schemas.openxmlformats.org/officeDocument/2006/relationships/hyperlink" Target="https://drive.google.com/open?id=1y6HVHepgRdF4jGoGbXw7uZmjKPikTcpJ" TargetMode="External"/><Relationship Id="rId12" Type="http://schemas.openxmlformats.org/officeDocument/2006/relationships/hyperlink" Target="https://drive.google.com/open?id=1R8uuPoss1CttS0CV9L9tydsjGtyMhgkI" TargetMode="External"/><Relationship Id="rId519" Type="http://schemas.openxmlformats.org/officeDocument/2006/relationships/hyperlink" Target="https://drive.google.com/open?id=1KqxGjFj4rpH9tJmOTQATijab_gNl7A11" TargetMode="External"/><Relationship Id="rId514" Type="http://schemas.openxmlformats.org/officeDocument/2006/relationships/hyperlink" Target="https://drive.google.com/open?id=1-iNNoItVUr72z1_7Ao38APauXJvaT1XW" TargetMode="External"/><Relationship Id="rId756" Type="http://schemas.openxmlformats.org/officeDocument/2006/relationships/hyperlink" Target="https://drive.google.com/open?id=1uJh9c9GnAK6ng6AhwFe--3UvZl-M7DbR" TargetMode="External"/><Relationship Id="rId513" Type="http://schemas.openxmlformats.org/officeDocument/2006/relationships/hyperlink" Target="https://drive.google.com/open?id=163VrD8smZJNBIAPWmwM4nWUctgVWGEM1" TargetMode="External"/><Relationship Id="rId755" Type="http://schemas.openxmlformats.org/officeDocument/2006/relationships/hyperlink" Target="https://drive.google.com/open?id=1RrkO4vXQ66em2-574AM8wOftLQRZ4c8D" TargetMode="External"/><Relationship Id="rId512" Type="http://schemas.openxmlformats.org/officeDocument/2006/relationships/hyperlink" Target="https://drive.google.com/open?id=1oj0SYtvYDe4gPGim6i4hXa_gN_Caprs3" TargetMode="External"/><Relationship Id="rId754" Type="http://schemas.openxmlformats.org/officeDocument/2006/relationships/hyperlink" Target="https://drive.google.com/open?id=1lkYD2F4vB6cZJ75Q6HBuMV46qb5R1vXQ" TargetMode="External"/><Relationship Id="rId511" Type="http://schemas.openxmlformats.org/officeDocument/2006/relationships/hyperlink" Target="https://drive.google.com/open?id=1RHnQvIjpch31cQyCP7tduNAmX5IrKcBp" TargetMode="External"/><Relationship Id="rId753" Type="http://schemas.openxmlformats.org/officeDocument/2006/relationships/hyperlink" Target="https://drive.google.com/open?id=1adwb3eUj7IVaCrByf-Q426aproU2BU39" TargetMode="External"/><Relationship Id="rId518" Type="http://schemas.openxmlformats.org/officeDocument/2006/relationships/hyperlink" Target="https://drive.google.com/open?id=1KAg5pbWbmMWsBNdCf9xrnYmzfF_yaiGr" TargetMode="External"/><Relationship Id="rId517" Type="http://schemas.openxmlformats.org/officeDocument/2006/relationships/hyperlink" Target="https://drive.google.com/open?id=1Xl6a8PjWs8HssvYvyt4puDfwvyAd-Dod" TargetMode="External"/><Relationship Id="rId759" Type="http://schemas.openxmlformats.org/officeDocument/2006/relationships/hyperlink" Target="https://drive.google.com/open?id=17KCfhpySoijedqHNhO3eok3hwC43UKSs" TargetMode="External"/><Relationship Id="rId516" Type="http://schemas.openxmlformats.org/officeDocument/2006/relationships/hyperlink" Target="https://drive.google.com/open?id=15h4e63ljp8R74KTZOfYKUnEAm5RGpfaw" TargetMode="External"/><Relationship Id="rId758" Type="http://schemas.openxmlformats.org/officeDocument/2006/relationships/hyperlink" Target="https://drive.google.com/open?id=1Cg86uahB1uBOiKdXmvdItkMnfrPy1Rha" TargetMode="External"/><Relationship Id="rId515" Type="http://schemas.openxmlformats.org/officeDocument/2006/relationships/hyperlink" Target="https://drive.google.com/open?id=12Tj6gg9CFIedt0JHAHxw4RoU9vM3ukRV" TargetMode="External"/><Relationship Id="rId757" Type="http://schemas.openxmlformats.org/officeDocument/2006/relationships/hyperlink" Target="https://drive.google.com/open?id=1JKwxVFC0cCDzSbhF9fRelpQ5_kV8L-2P" TargetMode="External"/><Relationship Id="rId15" Type="http://schemas.openxmlformats.org/officeDocument/2006/relationships/hyperlink" Target="https://drive.google.com/open?id=1gAQhsiEu5z5k5_cJ_Uf1yyMRwYS40aSY" TargetMode="External"/><Relationship Id="rId14" Type="http://schemas.openxmlformats.org/officeDocument/2006/relationships/hyperlink" Target="https://drive.google.com/open?id=17AC54joHrskWGPPHeZhtE_gys-_kAJll" TargetMode="External"/><Relationship Id="rId17" Type="http://schemas.openxmlformats.org/officeDocument/2006/relationships/hyperlink" Target="https://drive.google.com/open?id=10PzLpJeQIPDTyKSWEX9LGulpht_c3N7i" TargetMode="External"/><Relationship Id="rId16" Type="http://schemas.openxmlformats.org/officeDocument/2006/relationships/hyperlink" Target="https://drive.google.com/open?id=1cTE7q0UYRWyYatpjsFYZLGiL0SPQ2Cie" TargetMode="External"/><Relationship Id="rId19" Type="http://schemas.openxmlformats.org/officeDocument/2006/relationships/hyperlink" Target="https://drive.google.com/open?id=1U4oeqvk1XkB65lH3Y8qq31muQ4ywCgQD" TargetMode="External"/><Relationship Id="rId510" Type="http://schemas.openxmlformats.org/officeDocument/2006/relationships/hyperlink" Target="https://drive.google.com/open?id=1Sln5k-OUrj5vuW-CylGgmoP9219LRjmU" TargetMode="External"/><Relationship Id="rId752" Type="http://schemas.openxmlformats.org/officeDocument/2006/relationships/hyperlink" Target="https://drive.google.com/open?id=1_rUjkoQ6LgCplT3EHVuJK98wFyIdrvq3" TargetMode="External"/><Relationship Id="rId18" Type="http://schemas.openxmlformats.org/officeDocument/2006/relationships/hyperlink" Target="https://drive.google.com/open?id=17TbdsAxdC99tZ9vNeC4K1rZbDOoj90el" TargetMode="External"/><Relationship Id="rId751" Type="http://schemas.openxmlformats.org/officeDocument/2006/relationships/hyperlink" Target="https://drive.google.com/open?id=18lbkUCN-_GpvrbiVAPLXXVJYQGqYtV1e" TargetMode="External"/><Relationship Id="rId750" Type="http://schemas.openxmlformats.org/officeDocument/2006/relationships/hyperlink" Target="https://drive.google.com/open?id=1rMHy3Lx0N0RIkDBx2jpU8l8tAQgcXFIY" TargetMode="External"/><Relationship Id="rId84" Type="http://schemas.openxmlformats.org/officeDocument/2006/relationships/hyperlink" Target="https://drive.google.com/open?id=1CYfQn8sYF6opS_YhTrblQGgjckGoWurW" TargetMode="External"/><Relationship Id="rId83" Type="http://schemas.openxmlformats.org/officeDocument/2006/relationships/hyperlink" Target="https://drive.google.com/open?id=1L68XAyig4n91bmtnGlJoVRs-XJ1ZH4E6" TargetMode="External"/><Relationship Id="rId86" Type="http://schemas.openxmlformats.org/officeDocument/2006/relationships/hyperlink" Target="https://drive.google.com/open?id=1fePvAccdF2YijAUH56FigJ-U7hrSLrme" TargetMode="External"/><Relationship Id="rId85" Type="http://schemas.openxmlformats.org/officeDocument/2006/relationships/hyperlink" Target="https://drive.google.com/open?id=1sXOsMQQKB5HMvUOPAOuD8eBpnuP19dgN" TargetMode="External"/><Relationship Id="rId88" Type="http://schemas.openxmlformats.org/officeDocument/2006/relationships/hyperlink" Target="https://drive.google.com/open?id=1y8p2VHW1_mxMLXMqMwBEN4ho_dLiI_Pt" TargetMode="External"/><Relationship Id="rId87" Type="http://schemas.openxmlformats.org/officeDocument/2006/relationships/hyperlink" Target="https://drive.google.com/open?id=1gq7bY_g1fzyr3jWlImBEJHVbj-jJ3iKw" TargetMode="External"/><Relationship Id="rId89" Type="http://schemas.openxmlformats.org/officeDocument/2006/relationships/hyperlink" Target="https://drive.google.com/open?id=1hI5KB8rh2jambA0pg4r2zPc0PQMYqKsM" TargetMode="External"/><Relationship Id="rId709" Type="http://schemas.openxmlformats.org/officeDocument/2006/relationships/hyperlink" Target="https://drive.google.com/open?id=1ZR8Vg9YsTp2luW52fzgi-rZzHUW6NZYU" TargetMode="External"/><Relationship Id="rId708" Type="http://schemas.openxmlformats.org/officeDocument/2006/relationships/hyperlink" Target="https://drive.google.com/open?id=19_uat7l3tEzCGEghtZhzYNPzXlhQRHMZ" TargetMode="External"/><Relationship Id="rId707" Type="http://schemas.openxmlformats.org/officeDocument/2006/relationships/hyperlink" Target="https://drive.google.com/open?id=1mPzWbpqKgjFC-P6qOgw4CvvONTtFYiGO" TargetMode="External"/><Relationship Id="rId949" Type="http://schemas.openxmlformats.org/officeDocument/2006/relationships/hyperlink" Target="https://drive.google.com/open?id=1tYloRw1Hf0BTJQg_BM7sU0iJvimd_pE-" TargetMode="External"/><Relationship Id="rId706" Type="http://schemas.openxmlformats.org/officeDocument/2006/relationships/hyperlink" Target="https://drive.google.com/open?id=1J1e7qZOA2WrPVbfRX9lMDn3EFVyitVvN" TargetMode="External"/><Relationship Id="rId948" Type="http://schemas.openxmlformats.org/officeDocument/2006/relationships/hyperlink" Target="https://drive.google.com/open?id=19FHRbD0FkTlmAFDwwBDcjPWARRWQDte7" TargetMode="External"/><Relationship Id="rId80" Type="http://schemas.openxmlformats.org/officeDocument/2006/relationships/hyperlink" Target="https://drive.google.com/open?id=1MbQNjdzWX4BOjx6mwumfs3Dh3Zhc9tNq" TargetMode="External"/><Relationship Id="rId82" Type="http://schemas.openxmlformats.org/officeDocument/2006/relationships/hyperlink" Target="https://drive.google.com/open?id=1L0SR69eskL1kftA8cbAyFgIqxmV1AUD_" TargetMode="External"/><Relationship Id="rId81" Type="http://schemas.openxmlformats.org/officeDocument/2006/relationships/hyperlink" Target="https://drive.google.com/open?id=1awJcvUtz91TCGfUbl_vXhh5ObyCb_aCx" TargetMode="External"/><Relationship Id="rId701" Type="http://schemas.openxmlformats.org/officeDocument/2006/relationships/hyperlink" Target="https://drive.google.com/open?id=1_vYsIY0lCvQpcuO5uS_2K-TXBlSSqBrX" TargetMode="External"/><Relationship Id="rId943" Type="http://schemas.openxmlformats.org/officeDocument/2006/relationships/hyperlink" Target="https://drive.google.com/open?id=1sB-yi0Q67BgNwcnEIje7zK8XpjwciC5a" TargetMode="External"/><Relationship Id="rId700" Type="http://schemas.openxmlformats.org/officeDocument/2006/relationships/hyperlink" Target="https://drive.google.com/open?id=1pOn6Y99pw7yEkZ6P-T0_8Tk8i7nZQTxa" TargetMode="External"/><Relationship Id="rId942" Type="http://schemas.openxmlformats.org/officeDocument/2006/relationships/hyperlink" Target="https://drive.google.com/open?id=1JSf8glBmqUmsOblzYtzvhkEt-hnkYmho" TargetMode="External"/><Relationship Id="rId941" Type="http://schemas.openxmlformats.org/officeDocument/2006/relationships/hyperlink" Target="https://drive.google.com/open?id=1fdjuMtxy6ZD0pVunShbNk9ZKiOOzUkC4" TargetMode="External"/><Relationship Id="rId940" Type="http://schemas.openxmlformats.org/officeDocument/2006/relationships/hyperlink" Target="https://drive.google.com/open?id=1P3uTrH-_03Rp8asRWdHdT1HXNo56os7o" TargetMode="External"/><Relationship Id="rId705" Type="http://schemas.openxmlformats.org/officeDocument/2006/relationships/hyperlink" Target="https://drive.google.com/open?id=1Y2qs3VYXA6vG4uazp7EHrTwlJhPEkQGz" TargetMode="External"/><Relationship Id="rId947" Type="http://schemas.openxmlformats.org/officeDocument/2006/relationships/hyperlink" Target="https://drive.google.com/open?id=1zV4geB4ZaEdYJ4T5t-RXLRsQo8l4KOt7" TargetMode="External"/><Relationship Id="rId704" Type="http://schemas.openxmlformats.org/officeDocument/2006/relationships/hyperlink" Target="https://drive.google.com/open?id=1TqrWtW1a8hXHtVIV_RXY3gO6sTYSy5Vr" TargetMode="External"/><Relationship Id="rId946" Type="http://schemas.openxmlformats.org/officeDocument/2006/relationships/hyperlink" Target="https://drive.google.com/open?id=1BVnBtZO2c-5LWjZAiPj6QcXSabSRRJ_v" TargetMode="External"/><Relationship Id="rId703" Type="http://schemas.openxmlformats.org/officeDocument/2006/relationships/hyperlink" Target="https://drive.google.com/open?id=1tMsPsxSXGop8UG0YiFBdTWM8dfSTTQzE" TargetMode="External"/><Relationship Id="rId945" Type="http://schemas.openxmlformats.org/officeDocument/2006/relationships/hyperlink" Target="https://drive.google.com/open?id=1IqZowLytXrf2USji05ZyGF-jZpUzvJ1k" TargetMode="External"/><Relationship Id="rId702" Type="http://schemas.openxmlformats.org/officeDocument/2006/relationships/hyperlink" Target="https://drive.google.com/open?id=1QUXzmzhFIkeuh3tx6wXf69JhEbaA4XbR" TargetMode="External"/><Relationship Id="rId944" Type="http://schemas.openxmlformats.org/officeDocument/2006/relationships/hyperlink" Target="https://drive.google.com/open?id=1MJpVXxfv1KIG__97sOjJn_1kFoYjlGmi" TargetMode="External"/><Relationship Id="rId73" Type="http://schemas.openxmlformats.org/officeDocument/2006/relationships/hyperlink" Target="https://drive.google.com/open?id=18ajkGBkjSxDQeFxTPQtlJVxqaBrkf7SX" TargetMode="External"/><Relationship Id="rId72" Type="http://schemas.openxmlformats.org/officeDocument/2006/relationships/hyperlink" Target="https://drive.google.com/open?id=1j16Grytb3ksMT9gz_bSOXVywSXAlAdBL" TargetMode="External"/><Relationship Id="rId75" Type="http://schemas.openxmlformats.org/officeDocument/2006/relationships/hyperlink" Target="https://drive.google.com/open?id=1X_FFcS5DKneWwd1zwRvr7VsfZr2NF3rm" TargetMode="External"/><Relationship Id="rId74" Type="http://schemas.openxmlformats.org/officeDocument/2006/relationships/hyperlink" Target="https://drive.google.com/open?id=1hb7RfKeY2LoVfMcyU8LauB3fQi1kwVDC" TargetMode="External"/><Relationship Id="rId77" Type="http://schemas.openxmlformats.org/officeDocument/2006/relationships/hyperlink" Target="https://drive.google.com/open?id=1qBJrcesml0aCqZHnaCrk9cqI87NYf2wP" TargetMode="External"/><Relationship Id="rId76" Type="http://schemas.openxmlformats.org/officeDocument/2006/relationships/hyperlink" Target="https://drive.google.com/open?id=1YdpWwe8k9UDtsOCdLEg-3iGt0Hz7tZBS" TargetMode="External"/><Relationship Id="rId79" Type="http://schemas.openxmlformats.org/officeDocument/2006/relationships/hyperlink" Target="https://drive.google.com/open?id=12meRA3WRTIdDHjqz9EAcZ51jyQMAuqar" TargetMode="External"/><Relationship Id="rId78" Type="http://schemas.openxmlformats.org/officeDocument/2006/relationships/hyperlink" Target="https://drive.google.com/open?id=1wqBjB6ZH-5SLQwY7n2JijW1iQSdLBTkT" TargetMode="External"/><Relationship Id="rId939" Type="http://schemas.openxmlformats.org/officeDocument/2006/relationships/hyperlink" Target="https://drive.google.com/open?id=1JgUZjJJHDVzbK-R-A_4NqgDixGN437Y2" TargetMode="External"/><Relationship Id="rId938" Type="http://schemas.openxmlformats.org/officeDocument/2006/relationships/hyperlink" Target="https://drive.google.com/open?id=1VLWYltaeSpOW06sB8ifgkrj5utq9UMpn" TargetMode="External"/><Relationship Id="rId937" Type="http://schemas.openxmlformats.org/officeDocument/2006/relationships/hyperlink" Target="https://drive.google.com/open?id=1O7DvDysjzcL2O0f71XdPXdVNkmqgTIy9" TargetMode="External"/><Relationship Id="rId71" Type="http://schemas.openxmlformats.org/officeDocument/2006/relationships/hyperlink" Target="https://drive.google.com/open?id=1WlPFO2HUGr-GH2GLgcpyJEISob-Bjy4I" TargetMode="External"/><Relationship Id="rId70" Type="http://schemas.openxmlformats.org/officeDocument/2006/relationships/hyperlink" Target="https://drive.google.com/open?id=1NWkQAxp-f3UUAvwFOIn9THfHzMWWAiAu" TargetMode="External"/><Relationship Id="rId932" Type="http://schemas.openxmlformats.org/officeDocument/2006/relationships/hyperlink" Target="https://drive.google.com/open?id=1A6ktterjL2Z1q6ccfVofQ8rIfPbzELDY" TargetMode="External"/><Relationship Id="rId931" Type="http://schemas.openxmlformats.org/officeDocument/2006/relationships/hyperlink" Target="https://drive.google.com/open?id=1x6aycBF5uMuX-v62SmXbDoh3N6lagOpW" TargetMode="External"/><Relationship Id="rId930" Type="http://schemas.openxmlformats.org/officeDocument/2006/relationships/hyperlink" Target="https://drive.google.com/open?id=1RmPz0X4HdstPL2nyfdYCcFTuBmTr2ROt" TargetMode="External"/><Relationship Id="rId936" Type="http://schemas.openxmlformats.org/officeDocument/2006/relationships/hyperlink" Target="https://drive.google.com/open?id=1eXc2-f9QE0puMauuf8jWnDDDhDRAiQeP" TargetMode="External"/><Relationship Id="rId935" Type="http://schemas.openxmlformats.org/officeDocument/2006/relationships/hyperlink" Target="https://drive.google.com/open?id=1a921Z3qwLqHUyskT9ZtSHmIgxe7KJD9M" TargetMode="External"/><Relationship Id="rId934" Type="http://schemas.openxmlformats.org/officeDocument/2006/relationships/hyperlink" Target="https://drive.google.com/open?id=1CNYpQNv-xYN60pZ0iVbuglxlUeEGuQIw" TargetMode="External"/><Relationship Id="rId933" Type="http://schemas.openxmlformats.org/officeDocument/2006/relationships/hyperlink" Target="https://drive.google.com/open?id=1xxXAsDHke3F72yVAqXP2jyLQUk45Rl2c" TargetMode="External"/><Relationship Id="rId62" Type="http://schemas.openxmlformats.org/officeDocument/2006/relationships/hyperlink" Target="https://drive.google.com/open?id=1GUqS90VO33yKY7SoLLk5EuL_6xYapCFZ" TargetMode="External"/><Relationship Id="rId61" Type="http://schemas.openxmlformats.org/officeDocument/2006/relationships/hyperlink" Target="https://drive.google.com/open?id=1jt8pOcl-NyqEoF0FdqEXTj0IehAi9o2n" TargetMode="External"/><Relationship Id="rId64" Type="http://schemas.openxmlformats.org/officeDocument/2006/relationships/hyperlink" Target="https://drive.google.com/open?id=1gB0fM2_KZ4TAdnXUhvPBI5PXbOOzdTcl" TargetMode="External"/><Relationship Id="rId63" Type="http://schemas.openxmlformats.org/officeDocument/2006/relationships/hyperlink" Target="https://drive.google.com/open?id=1ojGkflwyC6s5s-wmEk1EY0bSTe9Xx8R0" TargetMode="External"/><Relationship Id="rId66" Type="http://schemas.openxmlformats.org/officeDocument/2006/relationships/hyperlink" Target="https://drive.google.com/open?id=1CWCTdMdavd9I0KocfsVcBYs_jx5eDDwQ" TargetMode="External"/><Relationship Id="rId65" Type="http://schemas.openxmlformats.org/officeDocument/2006/relationships/hyperlink" Target="https://drive.google.com/open?id=1DP9mMLDxArjMYD65gPgkVd7fvy3S_JEO" TargetMode="External"/><Relationship Id="rId68" Type="http://schemas.openxmlformats.org/officeDocument/2006/relationships/hyperlink" Target="https://drive.google.com/open?id=1lrw_IwRUXGnfvvp5aMuCDqIT1wYOU7nl" TargetMode="External"/><Relationship Id="rId67" Type="http://schemas.openxmlformats.org/officeDocument/2006/relationships/hyperlink" Target="https://drive.google.com/open?id=1f9sjQ8zy529Ug0TOubNIc7rFth_DlNKu" TargetMode="External"/><Relationship Id="rId729" Type="http://schemas.openxmlformats.org/officeDocument/2006/relationships/hyperlink" Target="https://drive.google.com/open?id=14NWDyj6UX8WMRAzifiKSm88PYkHscsD5" TargetMode="External"/><Relationship Id="rId728" Type="http://schemas.openxmlformats.org/officeDocument/2006/relationships/hyperlink" Target="https://drive.google.com/open?id=15XSlYaxtf4qiEc9iEbL_bKrBiRfP8ZYQ" TargetMode="External"/><Relationship Id="rId60" Type="http://schemas.openxmlformats.org/officeDocument/2006/relationships/hyperlink" Target="https://drive.google.com/open?id=1UhusJYu5mZ6JCqkxhWIZbNO1yN_1z5gp" TargetMode="External"/><Relationship Id="rId723" Type="http://schemas.openxmlformats.org/officeDocument/2006/relationships/hyperlink" Target="https://drive.google.com/open?id=1sSS58DeUhN9knqrm841S2iT2j3Se8EOB" TargetMode="External"/><Relationship Id="rId722" Type="http://schemas.openxmlformats.org/officeDocument/2006/relationships/hyperlink" Target="https://drive.google.com/open?id=1L1KTh0t3u-rutvl1k999Bi7vd_VHJxr7" TargetMode="External"/><Relationship Id="rId721" Type="http://schemas.openxmlformats.org/officeDocument/2006/relationships/hyperlink" Target="https://drive.google.com/open?id=1N4Yhny2c-w3xW6QPFcveoa7Pm7O2Mz7C" TargetMode="External"/><Relationship Id="rId720" Type="http://schemas.openxmlformats.org/officeDocument/2006/relationships/hyperlink" Target="https://drive.google.com/open?id=1oD9iX6hRopANL0Jngt11SspbATbWu3vP" TargetMode="External"/><Relationship Id="rId727" Type="http://schemas.openxmlformats.org/officeDocument/2006/relationships/hyperlink" Target="https://drive.google.com/open?id=1btRgQwoz5_Xs2mFFun5tnrICAyLcTmMs" TargetMode="External"/><Relationship Id="rId726" Type="http://schemas.openxmlformats.org/officeDocument/2006/relationships/hyperlink" Target="https://drive.google.com/open?id=12T7wAXZLu302__cDHL7HAtCzCpP1EJqr" TargetMode="External"/><Relationship Id="rId725" Type="http://schemas.openxmlformats.org/officeDocument/2006/relationships/hyperlink" Target="https://drive.google.com/open?id=1b_S2gkq9OL_Wswu3Xr61j9t_Rq9BTnZC" TargetMode="External"/><Relationship Id="rId724" Type="http://schemas.openxmlformats.org/officeDocument/2006/relationships/hyperlink" Target="https://drive.google.com/open?id=188lS4jZsFJcYcfPJe20YMyDUo_zxo5J0" TargetMode="External"/><Relationship Id="rId69" Type="http://schemas.openxmlformats.org/officeDocument/2006/relationships/hyperlink" Target="https://drive.google.com/open?id=18jtfIRNMm24m_BUd8XNhDbhr6Cb1f_vi" TargetMode="External"/><Relationship Id="rId51" Type="http://schemas.openxmlformats.org/officeDocument/2006/relationships/hyperlink" Target="https://drive.google.com/open?id=1ciuv6oA9s780N3lxU3oo15V3sOBnubxE" TargetMode="External"/><Relationship Id="rId50" Type="http://schemas.openxmlformats.org/officeDocument/2006/relationships/hyperlink" Target="https://drive.google.com/open?id=1zmsfDs6Rt7lPVCuQxOEEKiXIKsyMHa_y" TargetMode="External"/><Relationship Id="rId53" Type="http://schemas.openxmlformats.org/officeDocument/2006/relationships/hyperlink" Target="https://drive.google.com/open?id=19FUGLQIAvVpR4GiLCDcQDkv_4xl3KAip" TargetMode="External"/><Relationship Id="rId52" Type="http://schemas.openxmlformats.org/officeDocument/2006/relationships/hyperlink" Target="https://drive.google.com/open?id=1pBxuoUL_IMBULj8rzFeyWLG8rxvCVHu_" TargetMode="External"/><Relationship Id="rId55" Type="http://schemas.openxmlformats.org/officeDocument/2006/relationships/hyperlink" Target="https://drive.google.com/open?id=1M7XcaR2SuTFSbXDc6czJ-_lts62CKRCn" TargetMode="External"/><Relationship Id="rId54" Type="http://schemas.openxmlformats.org/officeDocument/2006/relationships/hyperlink" Target="https://drive.google.com/open?id=1uduwCDW1RCCYcYHoQquSjs1cUFY3eb5a" TargetMode="External"/><Relationship Id="rId57" Type="http://schemas.openxmlformats.org/officeDocument/2006/relationships/hyperlink" Target="https://drive.google.com/open?id=1-w4aoEOQMa_PsjhgZmoNy5k5XkHFXxt5" TargetMode="External"/><Relationship Id="rId56" Type="http://schemas.openxmlformats.org/officeDocument/2006/relationships/hyperlink" Target="https://drive.google.com/open?id=1gRqK3_nqaMT-beqadx2VNzqFBVKH1Yev" TargetMode="External"/><Relationship Id="rId719" Type="http://schemas.openxmlformats.org/officeDocument/2006/relationships/hyperlink" Target="https://drive.google.com/open?id=1srK_4PiJewI49SBVbYP1_7mekJ3nIOzW" TargetMode="External"/><Relationship Id="rId718" Type="http://schemas.openxmlformats.org/officeDocument/2006/relationships/hyperlink" Target="https://drive.google.com/open?id=1CkCmvxxY1xDrH270sbrRD-HIygLtIMsT" TargetMode="External"/><Relationship Id="rId717" Type="http://schemas.openxmlformats.org/officeDocument/2006/relationships/hyperlink" Target="https://drive.google.com/open?id=1u9XBLD-TUlDtklYkVpl_oEdntVnaR2IL" TargetMode="External"/><Relationship Id="rId959" Type="http://schemas.openxmlformats.org/officeDocument/2006/relationships/table" Target="../tables/table1.xml"/><Relationship Id="rId712" Type="http://schemas.openxmlformats.org/officeDocument/2006/relationships/hyperlink" Target="https://drive.google.com/open?id=1lrqv-kFWP_50xYfBaG_cqRKSvppKVFuy" TargetMode="External"/><Relationship Id="rId954" Type="http://schemas.openxmlformats.org/officeDocument/2006/relationships/hyperlink" Target="https://drive.google.com/open?id=1vRWRE7xt_FLnxYo8GshS4sBVAOy7AwBH" TargetMode="External"/><Relationship Id="rId711" Type="http://schemas.openxmlformats.org/officeDocument/2006/relationships/hyperlink" Target="https://drive.google.com/open?id=1W8X1OamCu6VQhAmbDRMsnEJhHd8XT2fT" TargetMode="External"/><Relationship Id="rId953" Type="http://schemas.openxmlformats.org/officeDocument/2006/relationships/hyperlink" Target="https://drive.google.com/open?id=1T1DXz4TCseOO6OHha3EBuNgNb4T8fACo" TargetMode="External"/><Relationship Id="rId710" Type="http://schemas.openxmlformats.org/officeDocument/2006/relationships/hyperlink" Target="https://drive.google.com/open?id=1h476OZxPp_W3qBrZQzt5DYkQqDayDSPR" TargetMode="External"/><Relationship Id="rId952" Type="http://schemas.openxmlformats.org/officeDocument/2006/relationships/hyperlink" Target="https://drive.google.com/open?id=1qtseEzzC2oDmLSbtB6xGyvyxdIoq2Zql" TargetMode="External"/><Relationship Id="rId951" Type="http://schemas.openxmlformats.org/officeDocument/2006/relationships/hyperlink" Target="https://drive.google.com/open?id=1Kprairv8wyxImDuQdzAeqY2FU7JxWMpp" TargetMode="External"/><Relationship Id="rId716" Type="http://schemas.openxmlformats.org/officeDocument/2006/relationships/hyperlink" Target="https://drive.google.com/open?id=1ZN60G-wFV18Xn6-8IY1FIPgwkiMjFQml" TargetMode="External"/><Relationship Id="rId715" Type="http://schemas.openxmlformats.org/officeDocument/2006/relationships/hyperlink" Target="https://drive.google.com/open?id=1cP5haf9ByvHwW8-KtiLCrEBAe-0ABUP5" TargetMode="External"/><Relationship Id="rId957" Type="http://schemas.openxmlformats.org/officeDocument/2006/relationships/drawing" Target="../drawings/drawing1.xml"/><Relationship Id="rId714" Type="http://schemas.openxmlformats.org/officeDocument/2006/relationships/hyperlink" Target="https://drive.google.com/open?id=1yM1ynOzjTY3sxOujSbLgR6kGva21Rdku" TargetMode="External"/><Relationship Id="rId956" Type="http://schemas.openxmlformats.org/officeDocument/2006/relationships/hyperlink" Target="https://drive.google.com/open?id=1hEArIRDtqKv9pY__rP60sLst-1hCBAyM" TargetMode="External"/><Relationship Id="rId713" Type="http://schemas.openxmlformats.org/officeDocument/2006/relationships/hyperlink" Target="https://drive.google.com/open?id=13Rsog9UQ2eckMh6w0w-qfRrR3iv9NFIt" TargetMode="External"/><Relationship Id="rId955" Type="http://schemas.openxmlformats.org/officeDocument/2006/relationships/hyperlink" Target="https://drive.google.com/open?id=1N48HVwxbZCiOxdruWBzYphGH8L3NCLJs" TargetMode="External"/><Relationship Id="rId59" Type="http://schemas.openxmlformats.org/officeDocument/2006/relationships/hyperlink" Target="https://drive.google.com/open?id=1bcdyguk1p-Rf1cXYt8fQW8osZarxZH7h" TargetMode="External"/><Relationship Id="rId58" Type="http://schemas.openxmlformats.org/officeDocument/2006/relationships/hyperlink" Target="https://drive.google.com/open?id=1LguCCx-0dy6vXa03UgQNtVX80dgHmr6Q" TargetMode="External"/><Relationship Id="rId950" Type="http://schemas.openxmlformats.org/officeDocument/2006/relationships/hyperlink" Target="https://drive.google.com/open?id=1K8nyii_pwk8F8oYeynzoOZ7ctDMy5Nxi" TargetMode="External"/><Relationship Id="rId590" Type="http://schemas.openxmlformats.org/officeDocument/2006/relationships/hyperlink" Target="https://drive.google.com/open?id=1qT1RWUw3SByI-d6wMhteOqYCFo29BIFX" TargetMode="External"/><Relationship Id="rId107" Type="http://schemas.openxmlformats.org/officeDocument/2006/relationships/hyperlink" Target="https://drive.google.com/open?id=15NTIYg96mqQf6AHgrOB_KAPr28wDkeEC" TargetMode="External"/><Relationship Id="rId349" Type="http://schemas.openxmlformats.org/officeDocument/2006/relationships/hyperlink" Target="https://drive.google.com/open?id=1Ez4vML9NzXbJSnipmduwPb-ZyyVSgiji" TargetMode="External"/><Relationship Id="rId106" Type="http://schemas.openxmlformats.org/officeDocument/2006/relationships/hyperlink" Target="https://drive.google.com/open?id=1Lwow6zzVgnXnvV7xypOCZzDwXX-DVlC_" TargetMode="External"/><Relationship Id="rId348" Type="http://schemas.openxmlformats.org/officeDocument/2006/relationships/hyperlink" Target="https://drive.google.com/open?id=1tGdu5Lld2TeRSOUQ7Cf7_IoCjCMb5tUD" TargetMode="External"/><Relationship Id="rId105" Type="http://schemas.openxmlformats.org/officeDocument/2006/relationships/hyperlink" Target="https://drive.google.com/open?id=1mfLCCYqpHzIRwgWvPV8PVayjPYMYLF9d" TargetMode="External"/><Relationship Id="rId347" Type="http://schemas.openxmlformats.org/officeDocument/2006/relationships/hyperlink" Target="https://drive.google.com/open?id=1IZIoWkEoniI7-BvHhX5oYpyiAAIZknHy" TargetMode="External"/><Relationship Id="rId589" Type="http://schemas.openxmlformats.org/officeDocument/2006/relationships/hyperlink" Target="https://drive.google.com/open?id=1NCJ1pD2fUAvIShzRV3GQcFfzHMFBBsR0" TargetMode="External"/><Relationship Id="rId104" Type="http://schemas.openxmlformats.org/officeDocument/2006/relationships/hyperlink" Target="https://drive.google.com/open?id=1vovd8SS-hhx3yYuhwi0c2FdOhgmclHRi" TargetMode="External"/><Relationship Id="rId346" Type="http://schemas.openxmlformats.org/officeDocument/2006/relationships/hyperlink" Target="https://drive.google.com/open?id=1rRT0ZJwU8oZoiF1_8IEfhYflFyI99pKI" TargetMode="External"/><Relationship Id="rId588" Type="http://schemas.openxmlformats.org/officeDocument/2006/relationships/hyperlink" Target="https://drive.google.com/open?id=1oAcYbvWwAHz3mABsGKrNeIQNhpd8Z6Nu" TargetMode="External"/><Relationship Id="rId109" Type="http://schemas.openxmlformats.org/officeDocument/2006/relationships/hyperlink" Target="https://drive.google.com/open?id=1LISqHlabNGtD_EDQ4s0Og5p4i-QmEF51" TargetMode="External"/><Relationship Id="rId108" Type="http://schemas.openxmlformats.org/officeDocument/2006/relationships/hyperlink" Target="https://drive.google.com/open?id=1zHkLe_AmYrBzBPxKHg8gHrrhCgXAjtOc" TargetMode="External"/><Relationship Id="rId341" Type="http://schemas.openxmlformats.org/officeDocument/2006/relationships/hyperlink" Target="https://drive.google.com/open?id=1iHEWg0HyjrY_kUnIdQKpWrw8QfGtCAdx" TargetMode="External"/><Relationship Id="rId583" Type="http://schemas.openxmlformats.org/officeDocument/2006/relationships/hyperlink" Target="https://drive.google.com/open?id=1yfbG8oNyJXMXunJKitGovDxDhu2__RHN" TargetMode="External"/><Relationship Id="rId340" Type="http://schemas.openxmlformats.org/officeDocument/2006/relationships/hyperlink" Target="https://drive.google.com/open?id=1R5uvhOw-x_HLohd77NXsOIlUiaivYZpv" TargetMode="External"/><Relationship Id="rId582" Type="http://schemas.openxmlformats.org/officeDocument/2006/relationships/hyperlink" Target="https://drive.google.com/open?id=1sUJjjucR74aX7qvOMz0_GObZ6rho2qAq" TargetMode="External"/><Relationship Id="rId581" Type="http://schemas.openxmlformats.org/officeDocument/2006/relationships/hyperlink" Target="https://drive.google.com/open?id=1p-o64eXJZwNEHLXc1fQ6hQMTEun6nLyV" TargetMode="External"/><Relationship Id="rId580" Type="http://schemas.openxmlformats.org/officeDocument/2006/relationships/hyperlink" Target="https://drive.google.com/open?id=1Hfh6FkaCW3uNMBc5Owa8ksFOYLhyKgPb" TargetMode="External"/><Relationship Id="rId103" Type="http://schemas.openxmlformats.org/officeDocument/2006/relationships/hyperlink" Target="https://drive.google.com/open?id=1_tFOuy0ilQMuDjJvfgCDAJOpO8jFUjYa" TargetMode="External"/><Relationship Id="rId345" Type="http://schemas.openxmlformats.org/officeDocument/2006/relationships/hyperlink" Target="https://drive.google.com/open?id=1jIhg1uqM_HV8-FTqhHqSV3SJ_vkKmhQg" TargetMode="External"/><Relationship Id="rId587" Type="http://schemas.openxmlformats.org/officeDocument/2006/relationships/hyperlink" Target="https://drive.google.com/open?id=1izfhcDiv_H2Nzw-UlH7GqiUUozFYNjok" TargetMode="External"/><Relationship Id="rId102" Type="http://schemas.openxmlformats.org/officeDocument/2006/relationships/hyperlink" Target="https://drive.google.com/open?id=1WT_7UMU5SVpKLdU_rj1fJaVuDLJ8nO-A" TargetMode="External"/><Relationship Id="rId344" Type="http://schemas.openxmlformats.org/officeDocument/2006/relationships/hyperlink" Target="https://drive.google.com/open?id=1xGhQMktxHzK6agmxlaqd_aUU53V6Z-0l" TargetMode="External"/><Relationship Id="rId586" Type="http://schemas.openxmlformats.org/officeDocument/2006/relationships/hyperlink" Target="https://drive.google.com/open?id=1d_w7uV6IYBgUgbhYB-_4g-0YytW0VZAW" TargetMode="External"/><Relationship Id="rId101" Type="http://schemas.openxmlformats.org/officeDocument/2006/relationships/hyperlink" Target="https://drive.google.com/open?id=15W-IXej7rWM4NIs7andZkBRQTGT0UiJ5" TargetMode="External"/><Relationship Id="rId343" Type="http://schemas.openxmlformats.org/officeDocument/2006/relationships/hyperlink" Target="https://drive.google.com/open?id=1PnIPm1Rn8LvX69z120EzhKaHhd1hGqrV" TargetMode="External"/><Relationship Id="rId585" Type="http://schemas.openxmlformats.org/officeDocument/2006/relationships/hyperlink" Target="https://drive.google.com/open?id=1rToXJyrfhby4yd-xmvIwtdXz10KNWsv_" TargetMode="External"/><Relationship Id="rId100" Type="http://schemas.openxmlformats.org/officeDocument/2006/relationships/hyperlink" Target="https://drive.google.com/open?id=1wIUE5gn9ORImx7U9wYppdTWdxvVmNM9b" TargetMode="External"/><Relationship Id="rId342" Type="http://schemas.openxmlformats.org/officeDocument/2006/relationships/hyperlink" Target="https://drive.google.com/open?id=1M-ibSJ3riNdh9ADJnp94ZY_fY-XQK46M" TargetMode="External"/><Relationship Id="rId584" Type="http://schemas.openxmlformats.org/officeDocument/2006/relationships/hyperlink" Target="https://drive.google.com/open?id=1aJRk9TT8EQvr1hg7IPRany_gnrnjVQlW" TargetMode="External"/><Relationship Id="rId338" Type="http://schemas.openxmlformats.org/officeDocument/2006/relationships/hyperlink" Target="https://drive.google.com/open?id=1g0kztD9lgejanb3gMa48891h_m_8MKRo" TargetMode="External"/><Relationship Id="rId337" Type="http://schemas.openxmlformats.org/officeDocument/2006/relationships/hyperlink" Target="https://drive.google.com/open?id=1uL_B6Lk7mjRf00_sZjPdvoaj4XFxjTYJ" TargetMode="External"/><Relationship Id="rId579" Type="http://schemas.openxmlformats.org/officeDocument/2006/relationships/hyperlink" Target="https://drive.google.com/open?id=1GhFm4Gnwv_CsXmM0Fs8-6oPbjmi54iTI" TargetMode="External"/><Relationship Id="rId336" Type="http://schemas.openxmlformats.org/officeDocument/2006/relationships/hyperlink" Target="https://drive.google.com/open?id=1AkIhAMbMuBhub88xSVaEcMTK-Gn_pFXm" TargetMode="External"/><Relationship Id="rId578" Type="http://schemas.openxmlformats.org/officeDocument/2006/relationships/hyperlink" Target="https://drive.google.com/open?id=1zTRn_xHlyAwGfAm507UhV1ta7RsDhDwQ" TargetMode="External"/><Relationship Id="rId335" Type="http://schemas.openxmlformats.org/officeDocument/2006/relationships/hyperlink" Target="https://drive.google.com/open?id=1j_uKAgJeEiHddXK8Tlp2TB-n1xhYIKgU" TargetMode="External"/><Relationship Id="rId577" Type="http://schemas.openxmlformats.org/officeDocument/2006/relationships/hyperlink" Target="https://drive.google.com/open?id=1UHJ-HR4XZF8zoU-9nz9PqYmQB284YG_z" TargetMode="External"/><Relationship Id="rId339" Type="http://schemas.openxmlformats.org/officeDocument/2006/relationships/hyperlink" Target="https://drive.google.com/open?id=1woA9N6sLE-3mxxkSVjCWqTd7tQOjCwz0" TargetMode="External"/><Relationship Id="rId330" Type="http://schemas.openxmlformats.org/officeDocument/2006/relationships/hyperlink" Target="https://drive.google.com/open?id=1h8HQ5W6jfbVXqFdLzPI6OMBlwL77dvVA" TargetMode="External"/><Relationship Id="rId572" Type="http://schemas.openxmlformats.org/officeDocument/2006/relationships/hyperlink" Target="https://drive.google.com/open?id=1IrTystw3m4B-Wn1tEOKkI5rwLC1-PUKf" TargetMode="External"/><Relationship Id="rId571" Type="http://schemas.openxmlformats.org/officeDocument/2006/relationships/hyperlink" Target="https://drive.google.com/open?id=19uPuH5MZcQ3vn0JZrYOuV8FlcPViKFIm" TargetMode="External"/><Relationship Id="rId570" Type="http://schemas.openxmlformats.org/officeDocument/2006/relationships/hyperlink" Target="https://drive.google.com/open?id=1D2JhujZtBJuxCSrpZOOAGcJhGhQX_gq5" TargetMode="External"/><Relationship Id="rId334" Type="http://schemas.openxmlformats.org/officeDocument/2006/relationships/hyperlink" Target="https://drive.google.com/open?id=1KLZ2tzcQ3FeXtYt_oKdaBv6Li__x3B-Z" TargetMode="External"/><Relationship Id="rId576" Type="http://schemas.openxmlformats.org/officeDocument/2006/relationships/hyperlink" Target="https://drive.google.com/open?id=1Gh6eg-wT-VtHLyzK7FiqUZfs0uS1vuZX" TargetMode="External"/><Relationship Id="rId333" Type="http://schemas.openxmlformats.org/officeDocument/2006/relationships/hyperlink" Target="https://drive.google.com/open?id=1VGvGxZbkxHx3_96kAM2jlocCUSda7zAU" TargetMode="External"/><Relationship Id="rId575" Type="http://schemas.openxmlformats.org/officeDocument/2006/relationships/hyperlink" Target="https://drive.google.com/open?id=1Tfs57JIl51y2uaCBKngrSiyFvjptjbeu" TargetMode="External"/><Relationship Id="rId332" Type="http://schemas.openxmlformats.org/officeDocument/2006/relationships/hyperlink" Target="https://drive.google.com/open?id=1GedswgSCBezA8NvfTqy_R_xHXr6mtFY5" TargetMode="External"/><Relationship Id="rId574" Type="http://schemas.openxmlformats.org/officeDocument/2006/relationships/hyperlink" Target="https://drive.google.com/open?id=1IV-wHe2T8Ya06hh3AH8-HxVkfMH7rTx-" TargetMode="External"/><Relationship Id="rId331" Type="http://schemas.openxmlformats.org/officeDocument/2006/relationships/hyperlink" Target="https://drive.google.com/open?id=17xl6F-GfdAva_VmWi7wF8sBnSjQ5tMSc" TargetMode="External"/><Relationship Id="rId573" Type="http://schemas.openxmlformats.org/officeDocument/2006/relationships/hyperlink" Target="https://drive.google.com/open?id=1Va18zRaJIuEHgQ5_YTp2F1qzFE-P6y45" TargetMode="External"/><Relationship Id="rId370" Type="http://schemas.openxmlformats.org/officeDocument/2006/relationships/hyperlink" Target="https://drive.google.com/open?id=1Qmo9InRt-N25IDALhl99N0Asjj7-6eoy" TargetMode="External"/><Relationship Id="rId129" Type="http://schemas.openxmlformats.org/officeDocument/2006/relationships/hyperlink" Target="https://drive.google.com/open?id=10iMSSQ3XIR_JScvAVA9VgIqnMNOohfsV" TargetMode="External"/><Relationship Id="rId128" Type="http://schemas.openxmlformats.org/officeDocument/2006/relationships/hyperlink" Target="https://drive.google.com/open?id=1KXzmZ1deggOxOSPPeX02QayjNF63kZlg" TargetMode="External"/><Relationship Id="rId127" Type="http://schemas.openxmlformats.org/officeDocument/2006/relationships/hyperlink" Target="https://drive.google.com/open?id=1AaDV_HXOyWP_kyPSwthI2CQgezQk3obJ" TargetMode="External"/><Relationship Id="rId369" Type="http://schemas.openxmlformats.org/officeDocument/2006/relationships/hyperlink" Target="https://drive.google.com/open?id=1QWBNQDc8qybrXNigf6P-nvJZDIZhPnI1" TargetMode="External"/><Relationship Id="rId126" Type="http://schemas.openxmlformats.org/officeDocument/2006/relationships/hyperlink" Target="https://drive.google.com/open?id=1PCOTU2VgA8YaeKJTT4F1KxcbMOrp0DCs" TargetMode="External"/><Relationship Id="rId368" Type="http://schemas.openxmlformats.org/officeDocument/2006/relationships/hyperlink" Target="https://drive.google.com/open?id=14V5gGxZAT7H31G5XaCfGIZNBH9igy2rv" TargetMode="External"/><Relationship Id="rId121" Type="http://schemas.openxmlformats.org/officeDocument/2006/relationships/hyperlink" Target="https://drive.google.com/open?id=1yMtSElqmULkYQxdk0vtcEnqxABUae18o" TargetMode="External"/><Relationship Id="rId363" Type="http://schemas.openxmlformats.org/officeDocument/2006/relationships/hyperlink" Target="https://drive.google.com/open?id=1vH3SLNWjvHnQ_6kUo7ZJCQseEXuFcGdz" TargetMode="External"/><Relationship Id="rId120" Type="http://schemas.openxmlformats.org/officeDocument/2006/relationships/hyperlink" Target="https://drive.google.com/open?id=1zGBOK0A9lg3aEZk5rfQrizUSJQXuJ80z" TargetMode="External"/><Relationship Id="rId362" Type="http://schemas.openxmlformats.org/officeDocument/2006/relationships/hyperlink" Target="https://drive.google.com/open?id=1aX0AV7fMKQIVt-owQ-Q_Nl3CZtznqNG5" TargetMode="External"/><Relationship Id="rId361" Type="http://schemas.openxmlformats.org/officeDocument/2006/relationships/hyperlink" Target="https://drive.google.com/open?id=1YQNLFUNT4gBYuYFhKaTIgENJ4BYiV_NB" TargetMode="External"/><Relationship Id="rId360" Type="http://schemas.openxmlformats.org/officeDocument/2006/relationships/hyperlink" Target="https://drive.google.com/open?id=1BweGeubcJ_EuvbV2MKcn69b5nMj2WqbR" TargetMode="External"/><Relationship Id="rId125" Type="http://schemas.openxmlformats.org/officeDocument/2006/relationships/hyperlink" Target="https://drive.google.com/open?id=1ttIRSbGOlbaQN0BemdBGHtjmYe8iVvym" TargetMode="External"/><Relationship Id="rId367" Type="http://schemas.openxmlformats.org/officeDocument/2006/relationships/hyperlink" Target="https://drive.google.com/open?id=16oh92_mrIq4a0CucKTcDfpqYc1WsTXxW" TargetMode="External"/><Relationship Id="rId124" Type="http://schemas.openxmlformats.org/officeDocument/2006/relationships/hyperlink" Target="https://drive.google.com/open?id=1C8tc70FTFBpfrKcGu4Cu78N3JUvr-iZP" TargetMode="External"/><Relationship Id="rId366" Type="http://schemas.openxmlformats.org/officeDocument/2006/relationships/hyperlink" Target="https://drive.google.com/open?id=1ksiAS5Tz6--4x_tnWprHM1eDh_JYrnaH" TargetMode="External"/><Relationship Id="rId123" Type="http://schemas.openxmlformats.org/officeDocument/2006/relationships/hyperlink" Target="https://drive.google.com/open?id=1yFq2BaH66yV4TRbtnjrvDzA-MtqKVfHs" TargetMode="External"/><Relationship Id="rId365" Type="http://schemas.openxmlformats.org/officeDocument/2006/relationships/hyperlink" Target="https://drive.google.com/open?id=1oaNNPjE32wBR7Ivh3kJepjjhC5m-Gsxb" TargetMode="External"/><Relationship Id="rId122" Type="http://schemas.openxmlformats.org/officeDocument/2006/relationships/hyperlink" Target="https://drive.google.com/open?id=16Oon5XO1cMO6ppcygECi1MZNWsG-0UvC" TargetMode="External"/><Relationship Id="rId364" Type="http://schemas.openxmlformats.org/officeDocument/2006/relationships/hyperlink" Target="https://drive.google.com/open?id=1hFeidNzpmjTaPVbV58gWQ9VsrgDyHY0u" TargetMode="External"/><Relationship Id="rId95" Type="http://schemas.openxmlformats.org/officeDocument/2006/relationships/hyperlink" Target="https://drive.google.com/open?id=1ljMQ1tjk8QUKCixpsXPg8KdtrpHDv3V_" TargetMode="External"/><Relationship Id="rId94" Type="http://schemas.openxmlformats.org/officeDocument/2006/relationships/hyperlink" Target="https://drive.google.com/open?id=1Q3uiUFRQVXTDBZH_R64ZQchf-6bs99Tu" TargetMode="External"/><Relationship Id="rId97" Type="http://schemas.openxmlformats.org/officeDocument/2006/relationships/hyperlink" Target="https://drive.google.com/open?id=1HWodmuhw815R8uBYEfrxaIhqYvGask1R" TargetMode="External"/><Relationship Id="rId96" Type="http://schemas.openxmlformats.org/officeDocument/2006/relationships/hyperlink" Target="https://drive.google.com/open?id=1oP9H0CHG50_XodXbZa6rEm4uiiegyZVO" TargetMode="External"/><Relationship Id="rId99" Type="http://schemas.openxmlformats.org/officeDocument/2006/relationships/hyperlink" Target="https://drive.google.com/open?id=1NXo02vXUcZc4ORenzmGj0_SY7L13vC-R" TargetMode="External"/><Relationship Id="rId98" Type="http://schemas.openxmlformats.org/officeDocument/2006/relationships/hyperlink" Target="https://drive.google.com/open?id=1srHUF3jfZEGatcHlRvLKTqDzHy78Qdwh" TargetMode="External"/><Relationship Id="rId91" Type="http://schemas.openxmlformats.org/officeDocument/2006/relationships/hyperlink" Target="https://drive.google.com/open?id=1x1D-Zi4eScM5RoP71AIwKLvcpu3CcOsE" TargetMode="External"/><Relationship Id="rId90" Type="http://schemas.openxmlformats.org/officeDocument/2006/relationships/hyperlink" Target="https://drive.google.com/open?id=1VqFggbu6SamXgHLY6wYBaQkqIYrlwQuk" TargetMode="External"/><Relationship Id="rId93" Type="http://schemas.openxmlformats.org/officeDocument/2006/relationships/hyperlink" Target="https://drive.google.com/open?id=112Q59AgCBG1Vi1dyEsVpxiEqnRbKVAeS" TargetMode="External"/><Relationship Id="rId92" Type="http://schemas.openxmlformats.org/officeDocument/2006/relationships/hyperlink" Target="https://drive.google.com/open?id=1LOFgYLu9TbXZPN2tYKE2KzDeuKK8YoG3" TargetMode="External"/><Relationship Id="rId118" Type="http://schemas.openxmlformats.org/officeDocument/2006/relationships/hyperlink" Target="https://drive.google.com/open?id=1BEZUTcGEOf2Ovhg_3OSuhb7AyFEql7m4" TargetMode="External"/><Relationship Id="rId117" Type="http://schemas.openxmlformats.org/officeDocument/2006/relationships/hyperlink" Target="https://drive.google.com/open?id=16hVN63QK_irbfxatBjWerADO-RIfsyu7" TargetMode="External"/><Relationship Id="rId359" Type="http://schemas.openxmlformats.org/officeDocument/2006/relationships/hyperlink" Target="https://drive.google.com/open?id=1nJ8Io4vWdyLTu2XOd0EkTULgQ68EWOsV" TargetMode="External"/><Relationship Id="rId116" Type="http://schemas.openxmlformats.org/officeDocument/2006/relationships/hyperlink" Target="https://drive.google.com/open?id=1dUNsRiZxXkGEG7AMDbm4EHzYSqGm3eFf" TargetMode="External"/><Relationship Id="rId358" Type="http://schemas.openxmlformats.org/officeDocument/2006/relationships/hyperlink" Target="https://drive.google.com/open?id=16ZaYS9EQa954j2duv3zeGJS-ZxmEBdCx" TargetMode="External"/><Relationship Id="rId115" Type="http://schemas.openxmlformats.org/officeDocument/2006/relationships/hyperlink" Target="https://drive.google.com/open?id=1VJ2hBRlRTVKIZXLkkS9cQUxASKgOWXPH" TargetMode="External"/><Relationship Id="rId357" Type="http://schemas.openxmlformats.org/officeDocument/2006/relationships/hyperlink" Target="https://drive.google.com/open?id=15yySVFnpItiNHoE9qGDgtmnGDUt_repQ" TargetMode="External"/><Relationship Id="rId599" Type="http://schemas.openxmlformats.org/officeDocument/2006/relationships/hyperlink" Target="https://drive.google.com/open?id=1vayw3nsiJMX3N7T5du7OSelAn7kOO5Zi" TargetMode="External"/><Relationship Id="rId119" Type="http://schemas.openxmlformats.org/officeDocument/2006/relationships/hyperlink" Target="https://drive.google.com/open?id=15ho9IXNbDLv7GxUL8c37ueMqQxNq71Dw" TargetMode="External"/><Relationship Id="rId110" Type="http://schemas.openxmlformats.org/officeDocument/2006/relationships/hyperlink" Target="https://drive.google.com/open?id=1Y8_a09VwD4nQarhFCryaGL5_wT2uQYX2" TargetMode="External"/><Relationship Id="rId352" Type="http://schemas.openxmlformats.org/officeDocument/2006/relationships/hyperlink" Target="https://drive.google.com/open?id=1zKK825AVBmCJ7MmeU4Qt49GY4RRiDGNn" TargetMode="External"/><Relationship Id="rId594" Type="http://schemas.openxmlformats.org/officeDocument/2006/relationships/hyperlink" Target="https://drive.google.com/open?id=1R25oeJ0FD2sjMIeusaCiOSAsozZ2QTTJ" TargetMode="External"/><Relationship Id="rId351" Type="http://schemas.openxmlformats.org/officeDocument/2006/relationships/hyperlink" Target="https://drive.google.com/open?id=1iM7eeYDpCYAzo86J7Ar4Rn6gV_WqED_Z" TargetMode="External"/><Relationship Id="rId593" Type="http://schemas.openxmlformats.org/officeDocument/2006/relationships/hyperlink" Target="https://drive.google.com/open?id=1GVtAnaOSQ3reHPpSALXrMNmWlcObERiH" TargetMode="External"/><Relationship Id="rId350" Type="http://schemas.openxmlformats.org/officeDocument/2006/relationships/hyperlink" Target="https://drive.google.com/open?id=11BzMBT4wFJmvghDIun2z0ImsNcXIhJLX" TargetMode="External"/><Relationship Id="rId592" Type="http://schemas.openxmlformats.org/officeDocument/2006/relationships/hyperlink" Target="https://drive.google.com/open?id=179v2iDhJBb_SB2WitWJ8NodP_BXGVIfQ" TargetMode="External"/><Relationship Id="rId591" Type="http://schemas.openxmlformats.org/officeDocument/2006/relationships/hyperlink" Target="https://drive.google.com/open?id=12ocssY0DaibKHVqABr-KKLl4WgY-dMff" TargetMode="External"/><Relationship Id="rId114" Type="http://schemas.openxmlformats.org/officeDocument/2006/relationships/hyperlink" Target="https://drive.google.com/open?id=1NaaQek2MhlNt9rb4GWBpsNcBqFR_NTHf" TargetMode="External"/><Relationship Id="rId356" Type="http://schemas.openxmlformats.org/officeDocument/2006/relationships/hyperlink" Target="https://drive.google.com/open?id=1v6_wTSMIH0pshXOl2N006iN8FvudDM99" TargetMode="External"/><Relationship Id="rId598" Type="http://schemas.openxmlformats.org/officeDocument/2006/relationships/hyperlink" Target="https://drive.google.com/open?id=1uW3qoFU4dypbSIGMwEkrBubryz32g8PR" TargetMode="External"/><Relationship Id="rId113" Type="http://schemas.openxmlformats.org/officeDocument/2006/relationships/hyperlink" Target="https://drive.google.com/open?id=1crujjpmv_vBulr7-NIgB2O6mIvPvzCmv" TargetMode="External"/><Relationship Id="rId355" Type="http://schemas.openxmlformats.org/officeDocument/2006/relationships/hyperlink" Target="https://drive.google.com/open?id=1VP7mDiweYD0wzE7MwktlsUh7wk_JEFF-" TargetMode="External"/><Relationship Id="rId597" Type="http://schemas.openxmlformats.org/officeDocument/2006/relationships/hyperlink" Target="https://drive.google.com/open?id=1aXPLppGuFTxJLwP8Gy3I4s-aE-wPwP-g" TargetMode="External"/><Relationship Id="rId112" Type="http://schemas.openxmlformats.org/officeDocument/2006/relationships/hyperlink" Target="https://drive.google.com/open?id=17iXIqVMPCigCRHsAgpkwv9UswGuGCfKx" TargetMode="External"/><Relationship Id="rId354" Type="http://schemas.openxmlformats.org/officeDocument/2006/relationships/hyperlink" Target="https://drive.google.com/open?id=1qp3-sTZWVShtHTINNX0AQXydjDFOKpaA" TargetMode="External"/><Relationship Id="rId596" Type="http://schemas.openxmlformats.org/officeDocument/2006/relationships/hyperlink" Target="https://drive.google.com/open?id=1wczzEQKQWR3l11U0wDZfzbTecPZx-zMZ" TargetMode="External"/><Relationship Id="rId111" Type="http://schemas.openxmlformats.org/officeDocument/2006/relationships/hyperlink" Target="https://drive.google.com/open?id=1U6gcZ8eUyxxLnm6nAc6odqcrSZ3RT-IF" TargetMode="External"/><Relationship Id="rId353" Type="http://schemas.openxmlformats.org/officeDocument/2006/relationships/hyperlink" Target="https://drive.google.com/open?id=1XHCl_rKI65DfkmPriu_cIXN9OrDJmUh2" TargetMode="External"/><Relationship Id="rId595" Type="http://schemas.openxmlformats.org/officeDocument/2006/relationships/hyperlink" Target="https://drive.google.com/open?id=1C8xm2KYMBDhK6LJ13hoDXzR0iNcYKOp6" TargetMode="External"/><Relationship Id="rId305" Type="http://schemas.openxmlformats.org/officeDocument/2006/relationships/hyperlink" Target="https://drive.google.com/open?id=1B2_TqHudbQAIJG9W5aon8XNPsZM46P6-" TargetMode="External"/><Relationship Id="rId547" Type="http://schemas.openxmlformats.org/officeDocument/2006/relationships/hyperlink" Target="https://drive.google.com/open?id=1-RkxNOrpobEmWV7dwIPjJ2ziGQ_32W5i" TargetMode="External"/><Relationship Id="rId789" Type="http://schemas.openxmlformats.org/officeDocument/2006/relationships/hyperlink" Target="https://drive.google.com/open?id=1GXlhiUAROdO45DmUq1R1iYV2FvzDXYTU" TargetMode="External"/><Relationship Id="rId304" Type="http://schemas.openxmlformats.org/officeDocument/2006/relationships/hyperlink" Target="https://drive.google.com/open?id=1nEp3dgVeMvjzJdkZCEyTXZdfhyjH9wPT" TargetMode="External"/><Relationship Id="rId546" Type="http://schemas.openxmlformats.org/officeDocument/2006/relationships/hyperlink" Target="https://drive.google.com/open?id=1ER5TqwolLpBgGkEd2kTMg8RbNAS0MJm8" TargetMode="External"/><Relationship Id="rId788" Type="http://schemas.openxmlformats.org/officeDocument/2006/relationships/hyperlink" Target="https://drive.google.com/open?id=1JxjOlwomrqDYd5w5SfpiDxd5_coImML0" TargetMode="External"/><Relationship Id="rId303" Type="http://schemas.openxmlformats.org/officeDocument/2006/relationships/hyperlink" Target="https://drive.google.com/open?id=1U3x601wTp6QCM0z76IKDcMNvv6ttoOdD" TargetMode="External"/><Relationship Id="rId545" Type="http://schemas.openxmlformats.org/officeDocument/2006/relationships/hyperlink" Target="https://drive.google.com/open?id=1PROD2JZsmi00UsDJINnpO5hDP2aOX2gK" TargetMode="External"/><Relationship Id="rId787" Type="http://schemas.openxmlformats.org/officeDocument/2006/relationships/hyperlink" Target="https://drive.google.com/open?id=10jalMQCoGhFka9SrOLVLnWsa9Ve9I3Ff" TargetMode="External"/><Relationship Id="rId302" Type="http://schemas.openxmlformats.org/officeDocument/2006/relationships/hyperlink" Target="https://drive.google.com/open?id=1Na182Xep-GUFUPYibhLttCyX0osDMlvA" TargetMode="External"/><Relationship Id="rId544" Type="http://schemas.openxmlformats.org/officeDocument/2006/relationships/hyperlink" Target="https://drive.google.com/open?id=1ccH3c_Vnz1SZGQZv-_ALxL9ESivxrDk6" TargetMode="External"/><Relationship Id="rId786" Type="http://schemas.openxmlformats.org/officeDocument/2006/relationships/hyperlink" Target="https://drive.google.com/open?id=1rSvcrEHZd1IJzbKae7BNEPbrmY--cS-S" TargetMode="External"/><Relationship Id="rId309" Type="http://schemas.openxmlformats.org/officeDocument/2006/relationships/hyperlink" Target="https://drive.google.com/open?id=14K0UCdKIJgujhAPJDsElRVZGm_Cnu1Ul" TargetMode="External"/><Relationship Id="rId308" Type="http://schemas.openxmlformats.org/officeDocument/2006/relationships/hyperlink" Target="https://drive.google.com/open?id=1KeL82v4Mznha8mlq6OEa9WYrxdyHdysd" TargetMode="External"/><Relationship Id="rId307" Type="http://schemas.openxmlformats.org/officeDocument/2006/relationships/hyperlink" Target="https://drive.google.com/open?id=12i-JuTTKCh-emqTC55QLvrRbEBwdeRmT" TargetMode="External"/><Relationship Id="rId549" Type="http://schemas.openxmlformats.org/officeDocument/2006/relationships/hyperlink" Target="https://drive.google.com/open?id=1hX8n0AwosQfjZ5lpQkCCegaGhUWNukAb" TargetMode="External"/><Relationship Id="rId306" Type="http://schemas.openxmlformats.org/officeDocument/2006/relationships/hyperlink" Target="https://drive.google.com/open?id=1zH4LxC8lz03R1wQPk8Gdnq0oRI7qHlMi" TargetMode="External"/><Relationship Id="rId548" Type="http://schemas.openxmlformats.org/officeDocument/2006/relationships/hyperlink" Target="https://drive.google.com/open?id=15f7_bn8TVO4uDn8JQ48XXo7F4XivzbkT" TargetMode="External"/><Relationship Id="rId781" Type="http://schemas.openxmlformats.org/officeDocument/2006/relationships/hyperlink" Target="https://drive.google.com/open?id=1pZKIGHjmONiPUM-FLXXWwLjXuTY2DcAp" TargetMode="External"/><Relationship Id="rId780" Type="http://schemas.openxmlformats.org/officeDocument/2006/relationships/hyperlink" Target="https://drive.google.com/open?id=10L6YWlMyi22vsQnSe3blC6hrLJ1Th60I" TargetMode="External"/><Relationship Id="rId301" Type="http://schemas.openxmlformats.org/officeDocument/2006/relationships/hyperlink" Target="https://drive.google.com/open?id=1iZOF_k8h6F8DynW528964LTvunKYScNL" TargetMode="External"/><Relationship Id="rId543" Type="http://schemas.openxmlformats.org/officeDocument/2006/relationships/hyperlink" Target="https://drive.google.com/open?id=11-0aH44opMtkkP9Ei3DfqBGdvUPN_zV4" TargetMode="External"/><Relationship Id="rId785" Type="http://schemas.openxmlformats.org/officeDocument/2006/relationships/hyperlink" Target="https://drive.google.com/open?id=1nSCYM_-Kmaf60IN5u9ofCOErKI7VKz-k" TargetMode="External"/><Relationship Id="rId300" Type="http://schemas.openxmlformats.org/officeDocument/2006/relationships/hyperlink" Target="https://drive.google.com/open?id=184Zn8FMILO1KYjeWJMXY_ByKJWXCmXNo" TargetMode="External"/><Relationship Id="rId542" Type="http://schemas.openxmlformats.org/officeDocument/2006/relationships/hyperlink" Target="https://drive.google.com/open?id=1CxGjCNsvzUmipNz9CvILmAUSZCD1evwU" TargetMode="External"/><Relationship Id="rId784" Type="http://schemas.openxmlformats.org/officeDocument/2006/relationships/hyperlink" Target="https://drive.google.com/open?id=1S6INXj0MvD81VwNcHNaxqcCvnPvxj385" TargetMode="External"/><Relationship Id="rId541" Type="http://schemas.openxmlformats.org/officeDocument/2006/relationships/hyperlink" Target="https://drive.google.com/open?id=1-kwpF_DW3rpENf8giNKk3e-7uxPr_8bS" TargetMode="External"/><Relationship Id="rId783" Type="http://schemas.openxmlformats.org/officeDocument/2006/relationships/hyperlink" Target="https://drive.google.com/open?id=1isqf7XsuLjNofcbEnM-kMfx02r7egwdn" TargetMode="External"/><Relationship Id="rId540" Type="http://schemas.openxmlformats.org/officeDocument/2006/relationships/hyperlink" Target="https://drive.google.com/open?id=1q8ZOZWPtyGIkCOydonf3VK3OnKbgel2t" TargetMode="External"/><Relationship Id="rId782" Type="http://schemas.openxmlformats.org/officeDocument/2006/relationships/hyperlink" Target="https://drive.google.com/open?id=1n59W1XKwxomCJLUpEQymcWMEnjdNRSjq" TargetMode="External"/><Relationship Id="rId536" Type="http://schemas.openxmlformats.org/officeDocument/2006/relationships/hyperlink" Target="https://drive.google.com/open?id=15b1-035fcget5X8aa3y89GcxDoKOEsvV" TargetMode="External"/><Relationship Id="rId778" Type="http://schemas.openxmlformats.org/officeDocument/2006/relationships/hyperlink" Target="https://drive.google.com/open?id=1tU6bMAQOMbJM42lZkP51G0U2AUKrPyx_" TargetMode="External"/><Relationship Id="rId535" Type="http://schemas.openxmlformats.org/officeDocument/2006/relationships/hyperlink" Target="https://drive.google.com/open?id=1-in8q__V2Vfsck7BQaqni7MwgN8Yzg5Z" TargetMode="External"/><Relationship Id="rId777" Type="http://schemas.openxmlformats.org/officeDocument/2006/relationships/hyperlink" Target="https://drive.google.com/open?id=1whMECUBsAQi-XE8nI007RxpUyYn5IYYp" TargetMode="External"/><Relationship Id="rId534" Type="http://schemas.openxmlformats.org/officeDocument/2006/relationships/hyperlink" Target="https://drive.google.com/open?id=1orHlIAfUq1Li-i0RAmBAKrZodpAqCw2q" TargetMode="External"/><Relationship Id="rId776" Type="http://schemas.openxmlformats.org/officeDocument/2006/relationships/hyperlink" Target="https://drive.google.com/open?id=18jQ1ntgg4YwZCOioRQlbv_ktvN3uowly" TargetMode="External"/><Relationship Id="rId533" Type="http://schemas.openxmlformats.org/officeDocument/2006/relationships/hyperlink" Target="https://drive.google.com/open?id=1qe8j3ESZOrCLGqiN-cUg_z6Zc64uIW1O" TargetMode="External"/><Relationship Id="rId775" Type="http://schemas.openxmlformats.org/officeDocument/2006/relationships/hyperlink" Target="https://drive.google.com/open?id=1MU0ftDalJn2QZObeentNUzTwQl0BBj3K" TargetMode="External"/><Relationship Id="rId539" Type="http://schemas.openxmlformats.org/officeDocument/2006/relationships/hyperlink" Target="https://drive.google.com/open?id=15Pz8TvkZEnywiLS0H8sj18fYcflaRirJ" TargetMode="External"/><Relationship Id="rId538" Type="http://schemas.openxmlformats.org/officeDocument/2006/relationships/hyperlink" Target="https://drive.google.com/open?id=1Q7srabb68eS7ZFceEVjA0yoXZvm0oXgU" TargetMode="External"/><Relationship Id="rId537" Type="http://schemas.openxmlformats.org/officeDocument/2006/relationships/hyperlink" Target="https://drive.google.com/open?id=1xNRS_b0OJMGo8nmvD586pQr4zleF3TOx" TargetMode="External"/><Relationship Id="rId779" Type="http://schemas.openxmlformats.org/officeDocument/2006/relationships/hyperlink" Target="https://drive.google.com/open?id=12iez3R8g9QyfZ-vTZBUhSo1VJUaUIbFU" TargetMode="External"/><Relationship Id="rId770" Type="http://schemas.openxmlformats.org/officeDocument/2006/relationships/hyperlink" Target="https://drive.google.com/open?id=1ZHxOLekpBXZF62-wJdaexNs_lUIiUZq5" TargetMode="External"/><Relationship Id="rId532" Type="http://schemas.openxmlformats.org/officeDocument/2006/relationships/hyperlink" Target="https://drive.google.com/open?id=1yN9IHQBEuM2-raAwsVHNA78MrVCokuv8" TargetMode="External"/><Relationship Id="rId774" Type="http://schemas.openxmlformats.org/officeDocument/2006/relationships/hyperlink" Target="https://drive.google.com/open?id=1VcaKE_66HYESiIad5GXwOj45QFujIAOe" TargetMode="External"/><Relationship Id="rId531" Type="http://schemas.openxmlformats.org/officeDocument/2006/relationships/hyperlink" Target="https://drive.google.com/open?id=1KQ5QfjYzUbLUxLq2BZh6rVAMUoFTybJI" TargetMode="External"/><Relationship Id="rId773" Type="http://schemas.openxmlformats.org/officeDocument/2006/relationships/hyperlink" Target="https://drive.google.com/open?id=1RCKn9acWsTTaLVU6j9W-ZABXm5L83auP" TargetMode="External"/><Relationship Id="rId530" Type="http://schemas.openxmlformats.org/officeDocument/2006/relationships/hyperlink" Target="https://drive.google.com/open?id=1BsZGXDxEzKtOE2UzQz8r96EnocmWatq4" TargetMode="External"/><Relationship Id="rId772" Type="http://schemas.openxmlformats.org/officeDocument/2006/relationships/hyperlink" Target="https://drive.google.com/open?id=1O49kNQK-qHe4WbPC7nrqTM5K4QvGSLrD" TargetMode="External"/><Relationship Id="rId771" Type="http://schemas.openxmlformats.org/officeDocument/2006/relationships/hyperlink" Target="https://drive.google.com/open?id=1T2vkGvXIKjtRiQEetgCIpGzD8jtFCqq3" TargetMode="External"/><Relationship Id="rId327" Type="http://schemas.openxmlformats.org/officeDocument/2006/relationships/hyperlink" Target="https://drive.google.com/open?id=1UFG3Ch3IDp_Dfnzi9CegLaw6u0c8T1Vf" TargetMode="External"/><Relationship Id="rId569" Type="http://schemas.openxmlformats.org/officeDocument/2006/relationships/hyperlink" Target="https://drive.google.com/open?id=1_Sf1kkexWPck8CCpBsNrf_0Q-dwNHEIC" TargetMode="External"/><Relationship Id="rId326" Type="http://schemas.openxmlformats.org/officeDocument/2006/relationships/hyperlink" Target="https://drive.google.com/open?id=1ZaycQ4xb-HmGVT0D5IJwBOE2njpfnRGO" TargetMode="External"/><Relationship Id="rId568" Type="http://schemas.openxmlformats.org/officeDocument/2006/relationships/hyperlink" Target="https://drive.google.com/open?id=1QWotFNAmsa-cOLmAx2KJ3vI8I-r69T74" TargetMode="External"/><Relationship Id="rId325" Type="http://schemas.openxmlformats.org/officeDocument/2006/relationships/hyperlink" Target="https://drive.google.com/open?id=1uiGRAGIe_3yqGMmgOTAaNo6cuFHyLB3I" TargetMode="External"/><Relationship Id="rId567" Type="http://schemas.openxmlformats.org/officeDocument/2006/relationships/hyperlink" Target="https://drive.google.com/open?id=1oQlYs_8UzVWRMrisS4RvS4R11eI5JTiK" TargetMode="External"/><Relationship Id="rId324" Type="http://schemas.openxmlformats.org/officeDocument/2006/relationships/hyperlink" Target="https://drive.google.com/open?id=1Y7ZFT6M5NxnfywNBhRpmnzrlvrWCazKX" TargetMode="External"/><Relationship Id="rId566" Type="http://schemas.openxmlformats.org/officeDocument/2006/relationships/hyperlink" Target="https://drive.google.com/open?id=18HpwgKkURWbJLX7dYV5vOHWXIy-x6VaV" TargetMode="External"/><Relationship Id="rId329" Type="http://schemas.openxmlformats.org/officeDocument/2006/relationships/hyperlink" Target="https://drive.google.com/open?id=1ZvUaZykMzSyMfhod0RMWNqRdqMlfmlgZ" TargetMode="External"/><Relationship Id="rId328" Type="http://schemas.openxmlformats.org/officeDocument/2006/relationships/hyperlink" Target="https://drive.google.com/open?id=1wi9Ct6S-1cLTL7B8QTr2_-SkbL-uPJJe" TargetMode="External"/><Relationship Id="rId561" Type="http://schemas.openxmlformats.org/officeDocument/2006/relationships/hyperlink" Target="https://drive.google.com/open?id=1G2DS9g-3KdwQWVDo6QIw6OHvz-vNggAH" TargetMode="External"/><Relationship Id="rId560" Type="http://schemas.openxmlformats.org/officeDocument/2006/relationships/hyperlink" Target="https://drive.google.com/open?id=1qHL9dzeErwCifcfJabo8oqngBDKZcwIh" TargetMode="External"/><Relationship Id="rId323" Type="http://schemas.openxmlformats.org/officeDocument/2006/relationships/hyperlink" Target="https://drive.google.com/open?id=1N6jDL9VR6vgkH5j1QCitXi-Oco_aa2-R" TargetMode="External"/><Relationship Id="rId565" Type="http://schemas.openxmlformats.org/officeDocument/2006/relationships/hyperlink" Target="https://drive.google.com/open?id=1PrQpESGBdSmSEcu6tfRMDidupzvaZJk9" TargetMode="External"/><Relationship Id="rId322" Type="http://schemas.openxmlformats.org/officeDocument/2006/relationships/hyperlink" Target="https://drive.google.com/open?id=1OvAVAOJDk-nIxMebA4eSPs2aLoX8fxdW" TargetMode="External"/><Relationship Id="rId564" Type="http://schemas.openxmlformats.org/officeDocument/2006/relationships/hyperlink" Target="https://drive.google.com/open?id=1d_J8xqrzrh2CZqlDxeEA42rWGN-eD3Lq" TargetMode="External"/><Relationship Id="rId321" Type="http://schemas.openxmlformats.org/officeDocument/2006/relationships/hyperlink" Target="https://drive.google.com/open?id=19up-FcNFGwKnKK1by1qeg90wTQy0RD49" TargetMode="External"/><Relationship Id="rId563" Type="http://schemas.openxmlformats.org/officeDocument/2006/relationships/hyperlink" Target="https://drive.google.com/open?id=1apIWp4pkwDMLRzkn3g0A-KWbg-KQ_Gik" TargetMode="External"/><Relationship Id="rId320" Type="http://schemas.openxmlformats.org/officeDocument/2006/relationships/hyperlink" Target="https://drive.google.com/open?id=19GDwnpIXnBuJx4pEaJZXnbaJbiu_aTUd" TargetMode="External"/><Relationship Id="rId562" Type="http://schemas.openxmlformats.org/officeDocument/2006/relationships/hyperlink" Target="https://drive.google.com/open?id=1D6_ob8XBLAcqKfmQjYjoDkF6OYOVXEDU" TargetMode="External"/><Relationship Id="rId316" Type="http://schemas.openxmlformats.org/officeDocument/2006/relationships/hyperlink" Target="https://drive.google.com/open?id=16GoHdc4Uqeizbt0yL9gSAv0kmsUofbuC" TargetMode="External"/><Relationship Id="rId558" Type="http://schemas.openxmlformats.org/officeDocument/2006/relationships/hyperlink" Target="https://drive.google.com/open?id=1LM9lr7E1_bDkgOJuCLhRoYQbmhvyKv28" TargetMode="External"/><Relationship Id="rId315" Type="http://schemas.openxmlformats.org/officeDocument/2006/relationships/hyperlink" Target="https://drive.google.com/open?id=1sUItRjnrignlphKCLIs15Yccp-lLXN1j" TargetMode="External"/><Relationship Id="rId557" Type="http://schemas.openxmlformats.org/officeDocument/2006/relationships/hyperlink" Target="https://drive.google.com/open?id=1aFwuj_pkmAMQVFubHIaAKGdyXyORbTZQ" TargetMode="External"/><Relationship Id="rId799" Type="http://schemas.openxmlformats.org/officeDocument/2006/relationships/hyperlink" Target="https://drive.google.com/open?id=1TVNEzmeW53dB_jvdXpDCyBZZi1PRO6-9" TargetMode="External"/><Relationship Id="rId314" Type="http://schemas.openxmlformats.org/officeDocument/2006/relationships/hyperlink" Target="https://drive.google.com/open?id=1xbk4Jx71qhJVR_2MvUQYSsSudzAOTZgZ" TargetMode="External"/><Relationship Id="rId556" Type="http://schemas.openxmlformats.org/officeDocument/2006/relationships/hyperlink" Target="https://drive.google.com/open?id=1VbXwlmeWVQ_uKuTWuMFA2JvPtJ2b0r8W" TargetMode="External"/><Relationship Id="rId798" Type="http://schemas.openxmlformats.org/officeDocument/2006/relationships/hyperlink" Target="https://drive.google.com/open?id=1xxuWcokWb5gfHd-Sn0fC_HLpNvBMe2uF" TargetMode="External"/><Relationship Id="rId313" Type="http://schemas.openxmlformats.org/officeDocument/2006/relationships/hyperlink" Target="https://drive.google.com/open?id=1IkXQKMv2stTUg-iQEArZbAFrAFrHFAMG" TargetMode="External"/><Relationship Id="rId555" Type="http://schemas.openxmlformats.org/officeDocument/2006/relationships/hyperlink" Target="https://drive.google.com/open?id=1dhDWcMr3QMPTF7VCXOROwLtGNm6GV0ek" TargetMode="External"/><Relationship Id="rId797" Type="http://schemas.openxmlformats.org/officeDocument/2006/relationships/hyperlink" Target="https://drive.google.com/open?id=19_We-RZQsL4KDK6vw-_-A2gwaNVmjS_t" TargetMode="External"/><Relationship Id="rId319" Type="http://schemas.openxmlformats.org/officeDocument/2006/relationships/hyperlink" Target="https://drive.google.com/open?id=1Q78GACmUMyH3doJIWI5utLS_ye_1HLS8" TargetMode="External"/><Relationship Id="rId318" Type="http://schemas.openxmlformats.org/officeDocument/2006/relationships/hyperlink" Target="https://drive.google.com/open?id=1v45lqT4e7RnViyHNBGZA8iOhE-Cucy4c" TargetMode="External"/><Relationship Id="rId317" Type="http://schemas.openxmlformats.org/officeDocument/2006/relationships/hyperlink" Target="https://drive.google.com/open?id=13pnwsc7pjUaYdYAfCfjeX19lbxrm2oJy" TargetMode="External"/><Relationship Id="rId559" Type="http://schemas.openxmlformats.org/officeDocument/2006/relationships/hyperlink" Target="https://drive.google.com/open?id=1f6GJpQQXfvsmGBDdf1BoNKhIP9SDbfTJ" TargetMode="External"/><Relationship Id="rId550" Type="http://schemas.openxmlformats.org/officeDocument/2006/relationships/hyperlink" Target="https://drive.google.com/open?id=1CG1Yi8OLTMWa5BMHWCaWw4w9DznhvP1z" TargetMode="External"/><Relationship Id="rId792" Type="http://schemas.openxmlformats.org/officeDocument/2006/relationships/hyperlink" Target="https://drive.google.com/open?id=1kVJUXc_HHTSNOWMFCsJYh67WGJor4uov" TargetMode="External"/><Relationship Id="rId791" Type="http://schemas.openxmlformats.org/officeDocument/2006/relationships/hyperlink" Target="https://drive.google.com/open?id=1TO7Ulr2Xdh_MT8MC1uQBLvCE3xU-J-6s" TargetMode="External"/><Relationship Id="rId790" Type="http://schemas.openxmlformats.org/officeDocument/2006/relationships/hyperlink" Target="https://drive.google.com/open?id=1qn_bu-xeBwlI9Dtv3T8jB99erKKporR7" TargetMode="External"/><Relationship Id="rId312" Type="http://schemas.openxmlformats.org/officeDocument/2006/relationships/hyperlink" Target="https://drive.google.com/open?id=14y4Mk-GUSo3f07ZWhJ_kRy9o0b3ovXeK" TargetMode="External"/><Relationship Id="rId554" Type="http://schemas.openxmlformats.org/officeDocument/2006/relationships/hyperlink" Target="https://drive.google.com/open?id=1M0suln3fQ9ENFl_MT5kERQ947j2fTWPm" TargetMode="External"/><Relationship Id="rId796" Type="http://schemas.openxmlformats.org/officeDocument/2006/relationships/hyperlink" Target="https://drive.google.com/open?id=1uOdQa7TnILIIyLqail2lzatnkYwrfz0a" TargetMode="External"/><Relationship Id="rId311" Type="http://schemas.openxmlformats.org/officeDocument/2006/relationships/hyperlink" Target="https://drive.google.com/open?id=1FwbIwMz34mYepWah299l_ws0TnY-ocK2" TargetMode="External"/><Relationship Id="rId553" Type="http://schemas.openxmlformats.org/officeDocument/2006/relationships/hyperlink" Target="https://drive.google.com/open?id=1mvIPp_kJ90KdJvHCmiSmI5FXLar3kiyu" TargetMode="External"/><Relationship Id="rId795" Type="http://schemas.openxmlformats.org/officeDocument/2006/relationships/hyperlink" Target="https://drive.google.com/open?id=1p1U7loxww3MXo04ZkoSPgEVBss_dBnc6" TargetMode="External"/><Relationship Id="rId310" Type="http://schemas.openxmlformats.org/officeDocument/2006/relationships/hyperlink" Target="https://drive.google.com/open?id=1kag92oY-kGdVEuZO-QL2Cpk2J560Z9n9" TargetMode="External"/><Relationship Id="rId552" Type="http://schemas.openxmlformats.org/officeDocument/2006/relationships/hyperlink" Target="https://drive.google.com/open?id=1gCavv1xzWzQE3CdlnC4SlLYawLeXq2Gn" TargetMode="External"/><Relationship Id="rId794" Type="http://schemas.openxmlformats.org/officeDocument/2006/relationships/hyperlink" Target="https://drive.google.com/open?id=1CLrOxLe_1XAdUs1EHAS7Lxibml7jn3T0" TargetMode="External"/><Relationship Id="rId551" Type="http://schemas.openxmlformats.org/officeDocument/2006/relationships/hyperlink" Target="https://drive.google.com/open?id=1j0-TkcHfGyTaxrsdyrhwEYqrXQXgF0R4" TargetMode="External"/><Relationship Id="rId793" Type="http://schemas.openxmlformats.org/officeDocument/2006/relationships/hyperlink" Target="https://drive.google.com/open?id=1UVInBl7mDUq4egp01cA4Ij3UQ6GKAmDa" TargetMode="External"/><Relationship Id="rId297" Type="http://schemas.openxmlformats.org/officeDocument/2006/relationships/hyperlink" Target="https://drive.google.com/open?id=1HMpgLV9A1reibpy5cFJ3ZG4maK2I01Ah" TargetMode="External"/><Relationship Id="rId296" Type="http://schemas.openxmlformats.org/officeDocument/2006/relationships/hyperlink" Target="https://drive.google.com/open?id=1KXKCksHDKyAx1JSqcyteOS6Zt6C1vMDj" TargetMode="External"/><Relationship Id="rId295" Type="http://schemas.openxmlformats.org/officeDocument/2006/relationships/hyperlink" Target="https://drive.google.com/open?id=1wmVbMASlgXBK6QrXLOPOd17ugeamvXMZ" TargetMode="External"/><Relationship Id="rId294" Type="http://schemas.openxmlformats.org/officeDocument/2006/relationships/hyperlink" Target="https://drive.google.com/open?id=1BkXsAZ4w8O4jtjxCZGifNW4oGy-sb2Tu" TargetMode="External"/><Relationship Id="rId299" Type="http://schemas.openxmlformats.org/officeDocument/2006/relationships/hyperlink" Target="https://drive.google.com/open?id=1C-hg-voFkZNLtklYB2dH9WD1wzF1LJ9m" TargetMode="External"/><Relationship Id="rId298" Type="http://schemas.openxmlformats.org/officeDocument/2006/relationships/hyperlink" Target="https://drive.google.com/open?id=10RL8n_NDucRIH8AQSsO03o-XwIqhcfTp" TargetMode="External"/><Relationship Id="rId271" Type="http://schemas.openxmlformats.org/officeDocument/2006/relationships/hyperlink" Target="https://drive.google.com/open?id=1lsTHAjfuJ6xqvN0t3PUEaEnMwALxSrBK" TargetMode="External"/><Relationship Id="rId270" Type="http://schemas.openxmlformats.org/officeDocument/2006/relationships/hyperlink" Target="https://drive.google.com/open?id=140g2PMX1BWjWa_52rmLujvyerPu5aVmh" TargetMode="External"/><Relationship Id="rId269" Type="http://schemas.openxmlformats.org/officeDocument/2006/relationships/hyperlink" Target="https://drive.google.com/open?id=1ZHS0Ir5fYumvwoUEtGO-z9JAHJhUlzzX" TargetMode="External"/><Relationship Id="rId264" Type="http://schemas.openxmlformats.org/officeDocument/2006/relationships/hyperlink" Target="https://drive.google.com/open?id=1jIMPMCg_Fo9Nj__IRjYBhZpXzK9KfALB" TargetMode="External"/><Relationship Id="rId263" Type="http://schemas.openxmlformats.org/officeDocument/2006/relationships/hyperlink" Target="https://drive.google.com/open?id=15SWAWVR5ZbQQxyvo74jlt7AMXBZl1XAW" TargetMode="External"/><Relationship Id="rId262" Type="http://schemas.openxmlformats.org/officeDocument/2006/relationships/hyperlink" Target="https://drive.google.com/open?id=1yh76s01ESxCSkTx3AbiaMD7dLEsOaJuj" TargetMode="External"/><Relationship Id="rId261" Type="http://schemas.openxmlformats.org/officeDocument/2006/relationships/hyperlink" Target="https://drive.google.com/open?id=1eH-BVWG9D54TNvPmXVqx99E4NIanmE0i" TargetMode="External"/><Relationship Id="rId268" Type="http://schemas.openxmlformats.org/officeDocument/2006/relationships/hyperlink" Target="https://drive.google.com/open?id=1ms8dd0Hbu6EBHSnxRLaMEUaovTk4ROA_" TargetMode="External"/><Relationship Id="rId267" Type="http://schemas.openxmlformats.org/officeDocument/2006/relationships/hyperlink" Target="https://drive.google.com/open?id=1daTnnZI5VLDpHYeILkjyaHTfvZFqXqEy" TargetMode="External"/><Relationship Id="rId266" Type="http://schemas.openxmlformats.org/officeDocument/2006/relationships/hyperlink" Target="https://drive.google.com/open?id=1ntkCr__H6capJ34vQ0eUQtyi-C4C0cF_" TargetMode="External"/><Relationship Id="rId265" Type="http://schemas.openxmlformats.org/officeDocument/2006/relationships/hyperlink" Target="https://drive.google.com/open?id=1vzs9NcKn3t1i3H3gFDLUoANvLKFspL2V" TargetMode="External"/><Relationship Id="rId260" Type="http://schemas.openxmlformats.org/officeDocument/2006/relationships/hyperlink" Target="https://drive.google.com/open?id=1jkvAkbzknUaRbvl5Om8m-T1B1YCnMoI3" TargetMode="External"/><Relationship Id="rId259" Type="http://schemas.openxmlformats.org/officeDocument/2006/relationships/hyperlink" Target="https://drive.google.com/open?id=1EohC9YyxLvMfAUqZ5aOizYQjbLYZZs5N" TargetMode="External"/><Relationship Id="rId258" Type="http://schemas.openxmlformats.org/officeDocument/2006/relationships/hyperlink" Target="https://drive.google.com/open?id=1Dn4ZxYqV542wtIzvY1lcRGmi_R_zXwjz" TargetMode="External"/><Relationship Id="rId253" Type="http://schemas.openxmlformats.org/officeDocument/2006/relationships/hyperlink" Target="https://drive.google.com/open?id=1Ht_IMMV6xh-590vIMnq7LgRsz7WvN0V7" TargetMode="External"/><Relationship Id="rId495" Type="http://schemas.openxmlformats.org/officeDocument/2006/relationships/hyperlink" Target="https://drive.google.com/open?id=1q0Je_mIdsHG3ihbUA-wMEvIksEJthY3q" TargetMode="External"/><Relationship Id="rId252" Type="http://schemas.openxmlformats.org/officeDocument/2006/relationships/hyperlink" Target="https://drive.google.com/open?id=1U_nxIOIz04N7jjn02SKMNsw4dvLDDkCK" TargetMode="External"/><Relationship Id="rId494" Type="http://schemas.openxmlformats.org/officeDocument/2006/relationships/hyperlink" Target="https://drive.google.com/open?id=1iD6ARKFI8MnFbTzBwr25_rf6ivVCGc7x" TargetMode="External"/><Relationship Id="rId251" Type="http://schemas.openxmlformats.org/officeDocument/2006/relationships/hyperlink" Target="https://drive.google.com/open?id=1tXMChxNbNvI4YdIlDjKX3Ziie1KZ332r" TargetMode="External"/><Relationship Id="rId493" Type="http://schemas.openxmlformats.org/officeDocument/2006/relationships/hyperlink" Target="https://drive.google.com/open?id=1Iuwi-yrbpG7laRlZwE7E5dnIMy-TZaTW" TargetMode="External"/><Relationship Id="rId250" Type="http://schemas.openxmlformats.org/officeDocument/2006/relationships/hyperlink" Target="https://drive.google.com/open?id=15qJLNeJWfDDYUi5PlL84E9-ydQgXl1UK" TargetMode="External"/><Relationship Id="rId492" Type="http://schemas.openxmlformats.org/officeDocument/2006/relationships/hyperlink" Target="https://drive.google.com/open?id=1E-bqQhC8a5TQGC9QnWDe_xCUtwg41o2k" TargetMode="External"/><Relationship Id="rId257" Type="http://schemas.openxmlformats.org/officeDocument/2006/relationships/hyperlink" Target="https://drive.google.com/open?id=1RU3R5WeIWRNIUc6hvCnn_ro9r-bGmMvh" TargetMode="External"/><Relationship Id="rId499" Type="http://schemas.openxmlformats.org/officeDocument/2006/relationships/hyperlink" Target="https://drive.google.com/open?id=1yd8VGViUNZk9kC_o9iEk24Xh8uu_NcI3" TargetMode="External"/><Relationship Id="rId256" Type="http://schemas.openxmlformats.org/officeDocument/2006/relationships/hyperlink" Target="https://drive.google.com/open?id=1KuLvOEHAGAJrgvABHR1e5GwtdiIvbAN_" TargetMode="External"/><Relationship Id="rId498" Type="http://schemas.openxmlformats.org/officeDocument/2006/relationships/hyperlink" Target="https://drive.google.com/open?id=1H5DsSqBFBPZ_Z2VSU1LGDgbO--XXaraQ" TargetMode="External"/><Relationship Id="rId255" Type="http://schemas.openxmlformats.org/officeDocument/2006/relationships/hyperlink" Target="https://drive.google.com/open?id=10KQ0xWLDqsTlWxvTyHf32AL5bw4rJNVY" TargetMode="External"/><Relationship Id="rId497" Type="http://schemas.openxmlformats.org/officeDocument/2006/relationships/hyperlink" Target="https://drive.google.com/open?id=1n4o-ZbCD_VgQHyMsQRVw7SjwkEld65zt" TargetMode="External"/><Relationship Id="rId254" Type="http://schemas.openxmlformats.org/officeDocument/2006/relationships/hyperlink" Target="https://drive.google.com/open?id=1qRsyv3XrojJc4CkQ2m41Z_lAQgztxwrH" TargetMode="External"/><Relationship Id="rId496" Type="http://schemas.openxmlformats.org/officeDocument/2006/relationships/hyperlink" Target="https://drive.google.com/open?id=1e-9_TCIy7_0QSg-2SF9ihJ34ZaCBWMs_" TargetMode="External"/><Relationship Id="rId293" Type="http://schemas.openxmlformats.org/officeDocument/2006/relationships/hyperlink" Target="https://drive.google.com/open?id=1buDvX7dnxUd0U3oTL0Y1m9re8Rmf9fZU" TargetMode="External"/><Relationship Id="rId292" Type="http://schemas.openxmlformats.org/officeDocument/2006/relationships/hyperlink" Target="https://drive.google.com/open?id=1VBwiLViZnVSgtd3dshPmWHaKuyo6Oeqe" TargetMode="External"/><Relationship Id="rId291" Type="http://schemas.openxmlformats.org/officeDocument/2006/relationships/hyperlink" Target="https://drive.google.com/open?id=1ue3Mr0En0WvOk1LOwtX7GNOZAjdUQiB1" TargetMode="External"/><Relationship Id="rId290" Type="http://schemas.openxmlformats.org/officeDocument/2006/relationships/hyperlink" Target="https://drive.google.com/open?id=1aYi4T4747dLFdZD16KaErautsWMbrxED" TargetMode="External"/><Relationship Id="rId286" Type="http://schemas.openxmlformats.org/officeDocument/2006/relationships/hyperlink" Target="https://drive.google.com/open?id=1iqg8S9fF2IZZMTmgFOG0a1YXBItRgVeH" TargetMode="External"/><Relationship Id="rId285" Type="http://schemas.openxmlformats.org/officeDocument/2006/relationships/hyperlink" Target="https://drive.google.com/open?id=1n0C98E94-Djro-zf98piWlXiACpCtIQx" TargetMode="External"/><Relationship Id="rId284" Type="http://schemas.openxmlformats.org/officeDocument/2006/relationships/hyperlink" Target="https://drive.google.com/open?id=1VrIcYM9JcqEtKVzBJLt7ZgQjxsKasKVX" TargetMode="External"/><Relationship Id="rId283" Type="http://schemas.openxmlformats.org/officeDocument/2006/relationships/hyperlink" Target="https://drive.google.com/open?id=10DfXVX_y08oWf2ZFg3hby9P7zlQr48Vw" TargetMode="External"/><Relationship Id="rId289" Type="http://schemas.openxmlformats.org/officeDocument/2006/relationships/hyperlink" Target="https://drive.google.com/open?id=1UAMvayTcr8pcLRu8yrcPJD1-U9Orugry" TargetMode="External"/><Relationship Id="rId288" Type="http://schemas.openxmlformats.org/officeDocument/2006/relationships/hyperlink" Target="https://drive.google.com/open?id=1YIorz4UsrSBzqE7Z-JwUnWY6g38O5ExW" TargetMode="External"/><Relationship Id="rId287" Type="http://schemas.openxmlformats.org/officeDocument/2006/relationships/hyperlink" Target="https://drive.google.com/open?id=1GLTp_CsA58nak3OjgYnIhk8vd0IohzxY" TargetMode="External"/><Relationship Id="rId282" Type="http://schemas.openxmlformats.org/officeDocument/2006/relationships/hyperlink" Target="https://drive.google.com/open?id=1lxZ7m0N9IivXJJOTBUMzSGbQf43xsXLW" TargetMode="External"/><Relationship Id="rId281" Type="http://schemas.openxmlformats.org/officeDocument/2006/relationships/hyperlink" Target="https://drive.google.com/open?id=1zemSZS1g95PNLHlxe28JBF2dZ8IDTvAL" TargetMode="External"/><Relationship Id="rId280" Type="http://schemas.openxmlformats.org/officeDocument/2006/relationships/hyperlink" Target="https://drive.google.com/open?id=1XkW2y7K0vGCrTi5-ijHEnkCuXFGi872M" TargetMode="External"/><Relationship Id="rId275" Type="http://schemas.openxmlformats.org/officeDocument/2006/relationships/hyperlink" Target="https://drive.google.com/open?id=1nWeFtXqPt9mHeH4R3YQtgnzFa_ndcHrd" TargetMode="External"/><Relationship Id="rId274" Type="http://schemas.openxmlformats.org/officeDocument/2006/relationships/hyperlink" Target="https://drive.google.com/open?id=1KbpPnJMaAEgZCTsF3zyA2BODongn5jJ7" TargetMode="External"/><Relationship Id="rId273" Type="http://schemas.openxmlformats.org/officeDocument/2006/relationships/hyperlink" Target="https://drive.google.com/open?id=1Jqrb55dIpM7cy2WwfXC5DwdtO12Ux554" TargetMode="External"/><Relationship Id="rId272" Type="http://schemas.openxmlformats.org/officeDocument/2006/relationships/hyperlink" Target="https://drive.google.com/open?id=1ksR4BTW25t1GSzXpsMxWd-pjaSZTum_l" TargetMode="External"/><Relationship Id="rId279" Type="http://schemas.openxmlformats.org/officeDocument/2006/relationships/hyperlink" Target="https://drive.google.com/open?id=1Vt-IpGPJy2M3SOhzyNltoMaMnPMASPKj" TargetMode="External"/><Relationship Id="rId278" Type="http://schemas.openxmlformats.org/officeDocument/2006/relationships/hyperlink" Target="https://drive.google.com/open?id=1RwHwEnY6A8v7Y6vimXPXVoY4Tx5goQNI" TargetMode="External"/><Relationship Id="rId277" Type="http://schemas.openxmlformats.org/officeDocument/2006/relationships/hyperlink" Target="https://drive.google.com/open?id=1dWVprA2xC3ilZAA8HlnxCTaTb0nCFoI9" TargetMode="External"/><Relationship Id="rId276" Type="http://schemas.openxmlformats.org/officeDocument/2006/relationships/hyperlink" Target="https://drive.google.com/open?id=1yEwb5WPAUQZDznoW6yDnh9qavV8PzwQI" TargetMode="External"/><Relationship Id="rId907" Type="http://schemas.openxmlformats.org/officeDocument/2006/relationships/hyperlink" Target="https://drive.google.com/open?id=1soLWuBfOyDKwtT2Kl9c_EH8ymDPu4Bco" TargetMode="External"/><Relationship Id="rId906" Type="http://schemas.openxmlformats.org/officeDocument/2006/relationships/hyperlink" Target="https://drive.google.com/open?id=10yK2zFKAnsNI-RJdBfd2vKdK-T98qzuZ" TargetMode="External"/><Relationship Id="rId905" Type="http://schemas.openxmlformats.org/officeDocument/2006/relationships/hyperlink" Target="https://drive.google.com/open?id=14zUCeETyXwUeNXyw2ucR8mBdsLmUeiUb" TargetMode="External"/><Relationship Id="rId904" Type="http://schemas.openxmlformats.org/officeDocument/2006/relationships/hyperlink" Target="https://drive.google.com/open?id=19JRqOGjg2OB4eUvUq88i7TwV5-9WF_9k" TargetMode="External"/><Relationship Id="rId909" Type="http://schemas.openxmlformats.org/officeDocument/2006/relationships/hyperlink" Target="https://drive.google.com/open?id=1FnQfbzp5FiA0YMR-4Wvazn05WA20-mpV" TargetMode="External"/><Relationship Id="rId908" Type="http://schemas.openxmlformats.org/officeDocument/2006/relationships/hyperlink" Target="https://drive.google.com/open?id=1n7goMfLs5iXD4IuMmPDORx0QS18StRl7" TargetMode="External"/><Relationship Id="rId903" Type="http://schemas.openxmlformats.org/officeDocument/2006/relationships/hyperlink" Target="https://drive.google.com/open?id=1gANzy6eszo8znQ9zp99MVhgSlQ9cTYHz" TargetMode="External"/><Relationship Id="rId902" Type="http://schemas.openxmlformats.org/officeDocument/2006/relationships/hyperlink" Target="https://drive.google.com/open?id=16KHcyajuLL75VZ9uoqIBG_f-Np05c633" TargetMode="External"/><Relationship Id="rId901" Type="http://schemas.openxmlformats.org/officeDocument/2006/relationships/hyperlink" Target="https://drive.google.com/open?id=1EbyKcW4ZBCxLWRf3xza_Wbpm6Ws5rw-K" TargetMode="External"/><Relationship Id="rId900" Type="http://schemas.openxmlformats.org/officeDocument/2006/relationships/hyperlink" Target="https://drive.google.com/open?id=1ucL09MtCWt_2mJdBNldtqZk4tJ2gj0_b" TargetMode="External"/><Relationship Id="rId929" Type="http://schemas.openxmlformats.org/officeDocument/2006/relationships/hyperlink" Target="https://drive.google.com/open?id=13389TUFNqPjAVr16ShwX9r87Rjoa_hpc" TargetMode="External"/><Relationship Id="rId928" Type="http://schemas.openxmlformats.org/officeDocument/2006/relationships/hyperlink" Target="https://drive.google.com/open?id=1as40eWJ9akf-KHIb9NuTDu6xNUqR-hGI" TargetMode="External"/><Relationship Id="rId927" Type="http://schemas.openxmlformats.org/officeDocument/2006/relationships/hyperlink" Target="https://drive.google.com/open?id=16P45lCkdv58KQROhlvinlUiSas8Jj-N4" TargetMode="External"/><Relationship Id="rId926" Type="http://schemas.openxmlformats.org/officeDocument/2006/relationships/hyperlink" Target="https://drive.google.com/open?id=1On-KwTadF-eZQN1qPhQpZIdVvTAiBGxD" TargetMode="External"/><Relationship Id="rId921" Type="http://schemas.openxmlformats.org/officeDocument/2006/relationships/hyperlink" Target="https://drive.google.com/open?id=1az1yzEw25lJjN2A45QDVsEtgFEHSeZAL" TargetMode="External"/><Relationship Id="rId920" Type="http://schemas.openxmlformats.org/officeDocument/2006/relationships/hyperlink" Target="https://drive.google.com/open?id=1iIEThA73g9N_Rhk2LwPIl4uHW162vzrC" TargetMode="External"/><Relationship Id="rId925" Type="http://schemas.openxmlformats.org/officeDocument/2006/relationships/hyperlink" Target="https://drive.google.com/open?id=1FO3Eis9R_rvvn8z3bvs8Jkr1Rid3Piaz" TargetMode="External"/><Relationship Id="rId924" Type="http://schemas.openxmlformats.org/officeDocument/2006/relationships/hyperlink" Target="https://drive.google.com/open?id=1KLucZetJ5IQi8pp21Ch5QC2y8uhNgBJo" TargetMode="External"/><Relationship Id="rId923" Type="http://schemas.openxmlformats.org/officeDocument/2006/relationships/hyperlink" Target="https://drive.google.com/open?id=11Y8p75Nl6oVVRcMrMKr-_Zl25wx0wOGs" TargetMode="External"/><Relationship Id="rId922" Type="http://schemas.openxmlformats.org/officeDocument/2006/relationships/hyperlink" Target="https://drive.google.com/open?id=1eHDDUwURT5xreQQ8yNbHJwTNQt4csdaP" TargetMode="External"/><Relationship Id="rId918" Type="http://schemas.openxmlformats.org/officeDocument/2006/relationships/hyperlink" Target="https://drive.google.com/open?id=1qL5n8h-3r8RwQIhDzno1vOPcJtM1a71p" TargetMode="External"/><Relationship Id="rId917" Type="http://schemas.openxmlformats.org/officeDocument/2006/relationships/hyperlink" Target="https://drive.google.com/open?id=1mjMLXWbeiZmsuXKF6nmMWTWN_DS4M2fb" TargetMode="External"/><Relationship Id="rId916" Type="http://schemas.openxmlformats.org/officeDocument/2006/relationships/hyperlink" Target="https://drive.google.com/open?id=15sy6OUhAOoQUftDcmzIToRNT2gwlF831" TargetMode="External"/><Relationship Id="rId915" Type="http://schemas.openxmlformats.org/officeDocument/2006/relationships/hyperlink" Target="https://drive.google.com/open?id=1rkyvnTFW0PFhkxtQyupN87sy5gtIzLJO" TargetMode="External"/><Relationship Id="rId919" Type="http://schemas.openxmlformats.org/officeDocument/2006/relationships/hyperlink" Target="https://drive.google.com/open?id=14kcCloM-nKaKmPMwUVPP5Z-iDNN1zWGo" TargetMode="External"/><Relationship Id="rId910" Type="http://schemas.openxmlformats.org/officeDocument/2006/relationships/hyperlink" Target="https://drive.google.com/open?id=1Kob0drum4V0JWAqZYO0FAuRyCPPuwhvQ" TargetMode="External"/><Relationship Id="rId914" Type="http://schemas.openxmlformats.org/officeDocument/2006/relationships/hyperlink" Target="https://drive.google.com/open?id=1cZgVJ6_quBzoiW3KIkAbowLrKUP5eBMU" TargetMode="External"/><Relationship Id="rId913" Type="http://schemas.openxmlformats.org/officeDocument/2006/relationships/hyperlink" Target="https://drive.google.com/open?id=1TwIANWiqc9Mdkd77i1tXJ4IpEPU54g-b" TargetMode="External"/><Relationship Id="rId912" Type="http://schemas.openxmlformats.org/officeDocument/2006/relationships/hyperlink" Target="https://drive.google.com/open?id=1MNYEjCe_fli8uWbfO_o-ISWfYDnustT1" TargetMode="External"/><Relationship Id="rId911" Type="http://schemas.openxmlformats.org/officeDocument/2006/relationships/hyperlink" Target="https://drive.google.com/open?id=1JUq090nUJOIoHj100mhA6g5UX5Zuz5Ip" TargetMode="External"/><Relationship Id="rId629" Type="http://schemas.openxmlformats.org/officeDocument/2006/relationships/hyperlink" Target="https://drive.google.com/open?id=1qBnoT2FWX4AjICQeijTx6s7EmBqe-8Nn" TargetMode="External"/><Relationship Id="rId624" Type="http://schemas.openxmlformats.org/officeDocument/2006/relationships/hyperlink" Target="https://drive.google.com/open?id=1XbpJaAuxH1uYdpfM2sNVN0wVRSIJwJPF" TargetMode="External"/><Relationship Id="rId866" Type="http://schemas.openxmlformats.org/officeDocument/2006/relationships/hyperlink" Target="https://drive.google.com/open?id=1mpuMXGPIp9i_bh45_WgYidNijhpZY93o" TargetMode="External"/><Relationship Id="rId623" Type="http://schemas.openxmlformats.org/officeDocument/2006/relationships/hyperlink" Target="https://drive.google.com/open?id=1CLgmwze1h17ISB4bpStlRFN_iRWrQ34n" TargetMode="External"/><Relationship Id="rId865" Type="http://schemas.openxmlformats.org/officeDocument/2006/relationships/hyperlink" Target="https://drive.google.com/open?id=1v6r2SNvZtr9uuzNle_wDi65YyEbuCjvX" TargetMode="External"/><Relationship Id="rId622" Type="http://schemas.openxmlformats.org/officeDocument/2006/relationships/hyperlink" Target="https://drive.google.com/open?id=1dY_usRxmkm_LOTgOfyv7OZW0BGqOvI6Q" TargetMode="External"/><Relationship Id="rId864" Type="http://schemas.openxmlformats.org/officeDocument/2006/relationships/hyperlink" Target="https://drive.google.com/open?id=1vAkFl682yQPBNuXuJVzXmeVSDaGFibNz" TargetMode="External"/><Relationship Id="rId621" Type="http://schemas.openxmlformats.org/officeDocument/2006/relationships/hyperlink" Target="https://drive.google.com/open?id=1jtpVxoQYjMu6Z3-5Z16HOk-qk--XWHu-" TargetMode="External"/><Relationship Id="rId863" Type="http://schemas.openxmlformats.org/officeDocument/2006/relationships/hyperlink" Target="https://drive.google.com/open?id=1n2c0zfU15kR0K-XnD2MnuZeZTdW20W6H" TargetMode="External"/><Relationship Id="rId628" Type="http://schemas.openxmlformats.org/officeDocument/2006/relationships/hyperlink" Target="https://drive.google.com/open?id=1ou2tSgqx-lN3I4dVHdu-mSNwb8pSu6rS" TargetMode="External"/><Relationship Id="rId627" Type="http://schemas.openxmlformats.org/officeDocument/2006/relationships/hyperlink" Target="https://drive.google.com/open?id=1TRyGfvDX-9sKbynTMFZk-dfPcR793jgp" TargetMode="External"/><Relationship Id="rId869" Type="http://schemas.openxmlformats.org/officeDocument/2006/relationships/hyperlink" Target="https://drive.google.com/open?id=1aeIcw6AvF1vFzEETZ3hUGILTNQw4RXkK" TargetMode="External"/><Relationship Id="rId626" Type="http://schemas.openxmlformats.org/officeDocument/2006/relationships/hyperlink" Target="https://drive.google.com/open?id=1n0uJXvaIyiMx5YT4BlsihaQp52HnH2nU" TargetMode="External"/><Relationship Id="rId868" Type="http://schemas.openxmlformats.org/officeDocument/2006/relationships/hyperlink" Target="https://drive.google.com/open?id=1C12LwOQrWH-ibalKsWXyknNw9LFlOsK3" TargetMode="External"/><Relationship Id="rId625" Type="http://schemas.openxmlformats.org/officeDocument/2006/relationships/hyperlink" Target="https://drive.google.com/open?id=1Jnk5L3LRhojR-DNN64JB_tfim7UToRiD" TargetMode="External"/><Relationship Id="rId867" Type="http://schemas.openxmlformats.org/officeDocument/2006/relationships/hyperlink" Target="https://drive.google.com/open?id=17YCwfGry1hA3CUd5_hsQkY3PTUMuld8y" TargetMode="External"/><Relationship Id="rId620" Type="http://schemas.openxmlformats.org/officeDocument/2006/relationships/hyperlink" Target="https://drive.google.com/open?id=1JThba9HsWsJJGI6v4lfejCKplxpQ-gm7" TargetMode="External"/><Relationship Id="rId862" Type="http://schemas.openxmlformats.org/officeDocument/2006/relationships/hyperlink" Target="https://drive.google.com/open?id=1q4WWJ32VhNdtAU6zQhNuK6uXrHINDcBz" TargetMode="External"/><Relationship Id="rId861" Type="http://schemas.openxmlformats.org/officeDocument/2006/relationships/hyperlink" Target="https://drive.google.com/open?id=1BWPG79tIlOsSBWxppD32won1WMMD-wef" TargetMode="External"/><Relationship Id="rId860" Type="http://schemas.openxmlformats.org/officeDocument/2006/relationships/hyperlink" Target="https://drive.google.com/open?id=1QUy-fjE4VO-DDau0IkBsvwml3GBxXce5" TargetMode="External"/><Relationship Id="rId619" Type="http://schemas.openxmlformats.org/officeDocument/2006/relationships/hyperlink" Target="https://drive.google.com/open?id=1Zoegy5qJKvW39X3Q0S-yDJ5aBKhqsB_e" TargetMode="External"/><Relationship Id="rId618" Type="http://schemas.openxmlformats.org/officeDocument/2006/relationships/hyperlink" Target="https://drive.google.com/open?id=1HdX_bZFq8lqx9rC-vCKUO56DJVYlXTW3" TargetMode="External"/><Relationship Id="rId613" Type="http://schemas.openxmlformats.org/officeDocument/2006/relationships/hyperlink" Target="https://drive.google.com/open?id=123ATo2p-86i17yM59juIE0pHLt3fT3wP" TargetMode="External"/><Relationship Id="rId855" Type="http://schemas.openxmlformats.org/officeDocument/2006/relationships/hyperlink" Target="https://drive.google.com/open?id=1Jabz6v0lmQfiDqCIldtiQqAL8bMmKtRP" TargetMode="External"/><Relationship Id="rId612" Type="http://schemas.openxmlformats.org/officeDocument/2006/relationships/hyperlink" Target="https://drive.google.com/open?id=1Ujv4JmGzmVLjjZozYbz9PTPgSrG7om6f" TargetMode="External"/><Relationship Id="rId854" Type="http://schemas.openxmlformats.org/officeDocument/2006/relationships/hyperlink" Target="https://drive.google.com/open?id=1zvJui4qTywpZN5kv-U09UEJDC3dq5oeB" TargetMode="External"/><Relationship Id="rId611" Type="http://schemas.openxmlformats.org/officeDocument/2006/relationships/hyperlink" Target="https://drive.google.com/open?id=1iLRyFJ_G9OYYruF_hvfhmiNJQF1DGfTK" TargetMode="External"/><Relationship Id="rId853" Type="http://schemas.openxmlformats.org/officeDocument/2006/relationships/hyperlink" Target="https://drive.google.com/open?id=1xL3kA2DX4S6uj9J6jNWtMtRq03yPShUr" TargetMode="External"/><Relationship Id="rId610" Type="http://schemas.openxmlformats.org/officeDocument/2006/relationships/hyperlink" Target="https://drive.google.com/open?id=10O8ZEcpLfNEmK8aUVP59hAWB7PKnY9yz" TargetMode="External"/><Relationship Id="rId852" Type="http://schemas.openxmlformats.org/officeDocument/2006/relationships/hyperlink" Target="https://drive.google.com/open?id=1gPIR-rWiizYWAANdf2ArNLBjP_0iWyBP" TargetMode="External"/><Relationship Id="rId617" Type="http://schemas.openxmlformats.org/officeDocument/2006/relationships/hyperlink" Target="https://drive.google.com/open?id=1hvT7Imu7w0FE_2XC8Z8igFl2hCaEsPpM" TargetMode="External"/><Relationship Id="rId859" Type="http://schemas.openxmlformats.org/officeDocument/2006/relationships/hyperlink" Target="https://drive.google.com/open?id=13y3UIeMfLxr20hAJXuuDHZN2h-MTkjy7" TargetMode="External"/><Relationship Id="rId616" Type="http://schemas.openxmlformats.org/officeDocument/2006/relationships/hyperlink" Target="https://drive.google.com/open?id=1VXWVMOBvkRzuf7DqKZEWNY03JL0aO0oN" TargetMode="External"/><Relationship Id="rId858" Type="http://schemas.openxmlformats.org/officeDocument/2006/relationships/hyperlink" Target="https://drive.google.com/open?id=12rI8eO34OQrddYedx9wXe44ap4ImvLPw" TargetMode="External"/><Relationship Id="rId615" Type="http://schemas.openxmlformats.org/officeDocument/2006/relationships/hyperlink" Target="https://drive.google.com/open?id=1kLYeMw5EfE2Bd3ElV0KK_-2Crf7siO54" TargetMode="External"/><Relationship Id="rId857" Type="http://schemas.openxmlformats.org/officeDocument/2006/relationships/hyperlink" Target="https://drive.google.com/open?id=1KjyYQFt2ggGT9rcfhwF97I8s0IPkP2mh" TargetMode="External"/><Relationship Id="rId614" Type="http://schemas.openxmlformats.org/officeDocument/2006/relationships/hyperlink" Target="https://drive.google.com/open?id=1nRpwnXt7RbsRqA1N5CG6YLo3gXNlr3R6" TargetMode="External"/><Relationship Id="rId856" Type="http://schemas.openxmlformats.org/officeDocument/2006/relationships/hyperlink" Target="https://drive.google.com/open?id=1wpmgCbYziFr1sjLHuo3qt3bzRwGphGgX" TargetMode="External"/><Relationship Id="rId851" Type="http://schemas.openxmlformats.org/officeDocument/2006/relationships/hyperlink" Target="https://drive.google.com/open?id=1HSKaFeW-9hVeA_BdrhcCHAGraSNce3U6" TargetMode="External"/><Relationship Id="rId850" Type="http://schemas.openxmlformats.org/officeDocument/2006/relationships/hyperlink" Target="https://drive.google.com/open?id=1p4SepP99A-bWt1FWCtDvHtmZQz74ut70" TargetMode="External"/><Relationship Id="rId409" Type="http://schemas.openxmlformats.org/officeDocument/2006/relationships/hyperlink" Target="https://drive.google.com/open?id=1m-TIOILX1E9-3H0GS2Jm9OBN_3CCxZzC" TargetMode="External"/><Relationship Id="rId404" Type="http://schemas.openxmlformats.org/officeDocument/2006/relationships/hyperlink" Target="https://drive.google.com/open?id=12DTPeKupg-qTNnz78GKLVDt-rO_EOMio" TargetMode="External"/><Relationship Id="rId646" Type="http://schemas.openxmlformats.org/officeDocument/2006/relationships/hyperlink" Target="https://drive.google.com/open?id=1LMpCERTqIcXYmh59HUxMMDu_olRF3fWp" TargetMode="External"/><Relationship Id="rId888" Type="http://schemas.openxmlformats.org/officeDocument/2006/relationships/hyperlink" Target="https://drive.google.com/open?id=1fM6LUPQNSyOCzGHqJHM2GfaavqOiKQnp" TargetMode="External"/><Relationship Id="rId403" Type="http://schemas.openxmlformats.org/officeDocument/2006/relationships/hyperlink" Target="https://drive.google.com/open?id=1ADU0R3MaI31XuqTEogX-9y2KseWBjmbw" TargetMode="External"/><Relationship Id="rId645" Type="http://schemas.openxmlformats.org/officeDocument/2006/relationships/hyperlink" Target="https://drive.google.com/open?id=1tTb8Jz_UTt6GiTwAJYfETDDY9t2xSxTS" TargetMode="External"/><Relationship Id="rId887" Type="http://schemas.openxmlformats.org/officeDocument/2006/relationships/hyperlink" Target="https://drive.google.com/open?id=1kUhQRvS-GWabupkQHQ2WyFbaQ3xPTqT-" TargetMode="External"/><Relationship Id="rId402" Type="http://schemas.openxmlformats.org/officeDocument/2006/relationships/hyperlink" Target="https://drive.google.com/open?id=1MRAg2GdPreukNvrSA_cmvFhiVFif1Gpd" TargetMode="External"/><Relationship Id="rId644" Type="http://schemas.openxmlformats.org/officeDocument/2006/relationships/hyperlink" Target="https://drive.google.com/open?id=1tqIQeTUQduAm3ChJbAwXDIRoD7JcTDes" TargetMode="External"/><Relationship Id="rId886" Type="http://schemas.openxmlformats.org/officeDocument/2006/relationships/hyperlink" Target="https://drive.google.com/open?id=1R9ZaPkAzHStYrSH16HsvKLRXDHII5GQz" TargetMode="External"/><Relationship Id="rId401" Type="http://schemas.openxmlformats.org/officeDocument/2006/relationships/hyperlink" Target="https://drive.google.com/open?id=1fy9R6S8fUBQbD9OPOc9FHimUgJJFrpMV" TargetMode="External"/><Relationship Id="rId643" Type="http://schemas.openxmlformats.org/officeDocument/2006/relationships/hyperlink" Target="https://drive.google.com/open?id=16-uhmdJD6n_5neSVCRJRKm1lv2-8YuBt" TargetMode="External"/><Relationship Id="rId885" Type="http://schemas.openxmlformats.org/officeDocument/2006/relationships/hyperlink" Target="https://drive.google.com/open?id=1E-TPHHyHHAqarXj2CS3x2g_J7r339jKT" TargetMode="External"/><Relationship Id="rId408" Type="http://schemas.openxmlformats.org/officeDocument/2006/relationships/hyperlink" Target="https://drive.google.com/open?id=13ksIym8FHuX5BEsJZBYun1fcKB7sOC-I" TargetMode="External"/><Relationship Id="rId407" Type="http://schemas.openxmlformats.org/officeDocument/2006/relationships/hyperlink" Target="https://drive.google.com/open?id=1K02GTNTe9m0uF0AgycB5w1aPQPRXvkHj" TargetMode="External"/><Relationship Id="rId649" Type="http://schemas.openxmlformats.org/officeDocument/2006/relationships/hyperlink" Target="https://drive.google.com/open?id=1ISG437kmcSpzdAcV42nEEU1gLuRqtyBL" TargetMode="External"/><Relationship Id="rId406" Type="http://schemas.openxmlformats.org/officeDocument/2006/relationships/hyperlink" Target="https://drive.google.com/open?id=1qbVILo8D75R6HyHIiP-euI-5bCRoqOXC" TargetMode="External"/><Relationship Id="rId648" Type="http://schemas.openxmlformats.org/officeDocument/2006/relationships/hyperlink" Target="https://drive.google.com/open?id=1wSdmL6d8Kafyfg-XT3F2iHumv0jUerpl" TargetMode="External"/><Relationship Id="rId405" Type="http://schemas.openxmlformats.org/officeDocument/2006/relationships/hyperlink" Target="https://drive.google.com/open?id=1_o8eEvxKF59eFznJZul-ojOUjqq4SGyw" TargetMode="External"/><Relationship Id="rId647" Type="http://schemas.openxmlformats.org/officeDocument/2006/relationships/hyperlink" Target="https://drive.google.com/open?id=1kJrdQMNQcX2TtGSiVT0uJw-kZvxdaJqh" TargetMode="External"/><Relationship Id="rId889" Type="http://schemas.openxmlformats.org/officeDocument/2006/relationships/hyperlink" Target="https://drive.google.com/open?id=1l8FdMXCghcel1PC0ivkbZRPmLWeFmZvP" TargetMode="External"/><Relationship Id="rId880" Type="http://schemas.openxmlformats.org/officeDocument/2006/relationships/hyperlink" Target="https://drive.google.com/open?id=1la2B4-LIClR9IgvW2GRVayFT_qKdZArP" TargetMode="External"/><Relationship Id="rId400" Type="http://schemas.openxmlformats.org/officeDocument/2006/relationships/hyperlink" Target="https://drive.google.com/open?id=1NaMdeZSrztETHBrIYw4tjq8N7XnsaxaH" TargetMode="External"/><Relationship Id="rId642" Type="http://schemas.openxmlformats.org/officeDocument/2006/relationships/hyperlink" Target="https://drive.google.com/open?id=1cRR-o3Z72k1M3iqQY-Y_5HsGKLErW8BC" TargetMode="External"/><Relationship Id="rId884" Type="http://schemas.openxmlformats.org/officeDocument/2006/relationships/hyperlink" Target="https://drive.google.com/open?id=11DzWZKMhXlVg1p_UZjqWfU9ChKJoxTDk" TargetMode="External"/><Relationship Id="rId641" Type="http://schemas.openxmlformats.org/officeDocument/2006/relationships/hyperlink" Target="https://drive.google.com/open?id=11H8prC3wT7nWJLsILLs_WgFuqF7p3CD0" TargetMode="External"/><Relationship Id="rId883" Type="http://schemas.openxmlformats.org/officeDocument/2006/relationships/hyperlink" Target="https://drive.google.com/open?id=1SfCk4h4boCaLa2g2P_B7PfSJgXoj9Ua-" TargetMode="External"/><Relationship Id="rId640" Type="http://schemas.openxmlformats.org/officeDocument/2006/relationships/hyperlink" Target="https://drive.google.com/open?id=15vlv7MFKEelOL6B8WsbT-bXf9E2ivX8t" TargetMode="External"/><Relationship Id="rId882" Type="http://schemas.openxmlformats.org/officeDocument/2006/relationships/hyperlink" Target="https://drive.google.com/open?id=1lGxfYeU40LFwOpdjmLdMeVOj1c3UmxdP" TargetMode="External"/><Relationship Id="rId881" Type="http://schemas.openxmlformats.org/officeDocument/2006/relationships/hyperlink" Target="https://drive.google.com/open?id=1Oxfp5jjknruDqUazv4DZBpnH2nrNegp6" TargetMode="External"/><Relationship Id="rId635" Type="http://schemas.openxmlformats.org/officeDocument/2006/relationships/hyperlink" Target="https://drive.google.com/open?id=1sRvy-O-ESNVoXQH7YQsto7kLhtamtBr2" TargetMode="External"/><Relationship Id="rId877" Type="http://schemas.openxmlformats.org/officeDocument/2006/relationships/hyperlink" Target="https://drive.google.com/open?id=1YmEgjRCTnCar0uNpf3UEtT1bwl7pBfC1" TargetMode="External"/><Relationship Id="rId634" Type="http://schemas.openxmlformats.org/officeDocument/2006/relationships/hyperlink" Target="https://drive.google.com/open?id=1PoPm1E1W_pO_OFmUY7l6aqmYTllLUAQO" TargetMode="External"/><Relationship Id="rId876" Type="http://schemas.openxmlformats.org/officeDocument/2006/relationships/hyperlink" Target="https://drive.google.com/open?id=1kAVohXGH47PNAUv0Dr5ELvOP4Ei0P3Xz" TargetMode="External"/><Relationship Id="rId633" Type="http://schemas.openxmlformats.org/officeDocument/2006/relationships/hyperlink" Target="https://drive.google.com/open?id=1r9TrSX7_c5tqlnVWs5DPGb2ndu4EyK6Q" TargetMode="External"/><Relationship Id="rId875" Type="http://schemas.openxmlformats.org/officeDocument/2006/relationships/hyperlink" Target="https://drive.google.com/open?id=1E9E3hXL3snxuKAHqlPXiso5NvuPyFm3Z" TargetMode="External"/><Relationship Id="rId632" Type="http://schemas.openxmlformats.org/officeDocument/2006/relationships/hyperlink" Target="https://drive.google.com/open?id=14t8aUIyoXvVA_01wy8SjkOrnsPtzHjBH" TargetMode="External"/><Relationship Id="rId874" Type="http://schemas.openxmlformats.org/officeDocument/2006/relationships/hyperlink" Target="https://drive.google.com/open?id=1yd1yDxo8-_eX4_Tx95hFPi33EObdSkpv" TargetMode="External"/><Relationship Id="rId639" Type="http://schemas.openxmlformats.org/officeDocument/2006/relationships/hyperlink" Target="https://drive.google.com/open?id=185poCWh30ISNdX59KMMFx-BQdId2C8qn" TargetMode="External"/><Relationship Id="rId638" Type="http://schemas.openxmlformats.org/officeDocument/2006/relationships/hyperlink" Target="https://drive.google.com/open?id=1Vv7K7wZEcPWN-jOUecGzNJZ_JLOJnife" TargetMode="External"/><Relationship Id="rId637" Type="http://schemas.openxmlformats.org/officeDocument/2006/relationships/hyperlink" Target="https://drive.google.com/open?id=1qzk8xqkd_WNp68QYtTIXGExAYRQSoprn" TargetMode="External"/><Relationship Id="rId879" Type="http://schemas.openxmlformats.org/officeDocument/2006/relationships/hyperlink" Target="https://drive.google.com/open?id=1gD26UOMQ19SG-rGMT8nX5mF_Z7QhcTD2" TargetMode="External"/><Relationship Id="rId636" Type="http://schemas.openxmlformats.org/officeDocument/2006/relationships/hyperlink" Target="https://drive.google.com/open?id=189vR_CTbb2WzHQjZQRW-v2Au8s9Dw4pI" TargetMode="External"/><Relationship Id="rId878" Type="http://schemas.openxmlformats.org/officeDocument/2006/relationships/hyperlink" Target="https://drive.google.com/open?id=1Hf3j79lsAh5JJqZnLjqbYsuvYemuV8Oh" TargetMode="External"/><Relationship Id="rId631" Type="http://schemas.openxmlformats.org/officeDocument/2006/relationships/hyperlink" Target="https://drive.google.com/open?id=11yWMccPcWNB4LXk2Q7OImRcQQn-YZvGk" TargetMode="External"/><Relationship Id="rId873" Type="http://schemas.openxmlformats.org/officeDocument/2006/relationships/hyperlink" Target="https://drive.google.com/open?id=1txOzjom294EXe5pa6wGm9gf_GMrkoA5e" TargetMode="External"/><Relationship Id="rId630" Type="http://schemas.openxmlformats.org/officeDocument/2006/relationships/hyperlink" Target="https://drive.google.com/open?id=1OIteLOFq08kuljm77U2cnU1iPUXHKqKi" TargetMode="External"/><Relationship Id="rId872" Type="http://schemas.openxmlformats.org/officeDocument/2006/relationships/hyperlink" Target="https://drive.google.com/open?id=1lTQGRnM9MMtCnW4cZIilNTO7XF8uiWex" TargetMode="External"/><Relationship Id="rId871" Type="http://schemas.openxmlformats.org/officeDocument/2006/relationships/hyperlink" Target="https://drive.google.com/open?id=1y79G9tTiLFp-2FsPlSxDg3VEyTtazngl" TargetMode="External"/><Relationship Id="rId870" Type="http://schemas.openxmlformats.org/officeDocument/2006/relationships/hyperlink" Target="https://drive.google.com/open?id=1VZ3j6JEpKcw9cooARgHY9Oja01mIzxMp" TargetMode="External"/><Relationship Id="rId829" Type="http://schemas.openxmlformats.org/officeDocument/2006/relationships/hyperlink" Target="https://drive.google.com/open?id=1CCd463eOPFwBid4PtiXQ2JEasqLA7Cog" TargetMode="External"/><Relationship Id="rId828" Type="http://schemas.openxmlformats.org/officeDocument/2006/relationships/hyperlink" Target="https://drive.google.com/open?id=1TT_Q52Gprp8kBD1SJDcVBng6DCdN3aYB" TargetMode="External"/><Relationship Id="rId827" Type="http://schemas.openxmlformats.org/officeDocument/2006/relationships/hyperlink" Target="https://drive.google.com/open?id=1jfxoy3-yxGI15I04EsbcrHm3f7F30IQX" TargetMode="External"/><Relationship Id="rId822" Type="http://schemas.openxmlformats.org/officeDocument/2006/relationships/hyperlink" Target="https://drive.google.com/open?id=1jxAObz8_IkM5uK5IdOD61XwmuvH9RUeu" TargetMode="External"/><Relationship Id="rId821" Type="http://schemas.openxmlformats.org/officeDocument/2006/relationships/hyperlink" Target="https://drive.google.com/open?id=1hjcMK3FAif2I6r_nutL3rnC2nChvMwni" TargetMode="External"/><Relationship Id="rId820" Type="http://schemas.openxmlformats.org/officeDocument/2006/relationships/hyperlink" Target="https://drive.google.com/open?id=1KjcvoShQsO-bcPc1VGYZq_nSZE2wjHU2" TargetMode="External"/><Relationship Id="rId826" Type="http://schemas.openxmlformats.org/officeDocument/2006/relationships/hyperlink" Target="https://drive.google.com/open?id=1o7DSfW1jA0Q00AGve_1vr0-E7q5YpZh7" TargetMode="External"/><Relationship Id="rId825" Type="http://schemas.openxmlformats.org/officeDocument/2006/relationships/hyperlink" Target="https://drive.google.com/open?id=1EAnzv3DBLt-H8lHwq1Ih-LqRpGgfUxlo" TargetMode="External"/><Relationship Id="rId824" Type="http://schemas.openxmlformats.org/officeDocument/2006/relationships/hyperlink" Target="https://drive.google.com/open?id=1PBmZZMwC8Y2kLYWwZ6nkxtmyS1WJtixF" TargetMode="External"/><Relationship Id="rId823" Type="http://schemas.openxmlformats.org/officeDocument/2006/relationships/hyperlink" Target="https://drive.google.com/open?id=1nbwQGPq82n4ZyFCc3SNuGzz7z7jsUdTH" TargetMode="External"/><Relationship Id="rId819" Type="http://schemas.openxmlformats.org/officeDocument/2006/relationships/hyperlink" Target="https://drive.google.com/open?id=1j9qGtupxKRGsJT16J4OQdVN_Xo6gsM8i" TargetMode="External"/><Relationship Id="rId818" Type="http://schemas.openxmlformats.org/officeDocument/2006/relationships/hyperlink" Target="https://drive.google.com/open?id=1Wh3YhrKC42ghCnhOHxPjegPwZKlBqOEp" TargetMode="External"/><Relationship Id="rId817" Type="http://schemas.openxmlformats.org/officeDocument/2006/relationships/hyperlink" Target="https://drive.google.com/open?id=1IuQMuSmjyYDDid8XzcVPaf2Dme-elhXp" TargetMode="External"/><Relationship Id="rId816" Type="http://schemas.openxmlformats.org/officeDocument/2006/relationships/hyperlink" Target="https://drive.google.com/open?id=1bWmauqOxXq6J2dINHbd120uZ2s9bcUtq" TargetMode="External"/><Relationship Id="rId811" Type="http://schemas.openxmlformats.org/officeDocument/2006/relationships/hyperlink" Target="https://drive.google.com/open?id=1fouHEfKdIKsdMsOiHxZtHqQmXCA6QZBV" TargetMode="External"/><Relationship Id="rId810" Type="http://schemas.openxmlformats.org/officeDocument/2006/relationships/hyperlink" Target="https://drive.google.com/open?id=1re4LayFaDxbYaBzOkiuEuUNNekJEVZMP" TargetMode="External"/><Relationship Id="rId815" Type="http://schemas.openxmlformats.org/officeDocument/2006/relationships/hyperlink" Target="https://drive.google.com/open?id=1C0lI3xRzeofG1VUGvu9Jkiht6o5Rafse" TargetMode="External"/><Relationship Id="rId814" Type="http://schemas.openxmlformats.org/officeDocument/2006/relationships/hyperlink" Target="https://drive.google.com/open?id=1XeD2bMUtA8-Y9QtZNuP6s9Hf1FIhVEwG" TargetMode="External"/><Relationship Id="rId813" Type="http://schemas.openxmlformats.org/officeDocument/2006/relationships/hyperlink" Target="https://drive.google.com/open?id=1JKGfqkRs6IVXoP6OE6xR7lfxZpvBjBC1" TargetMode="External"/><Relationship Id="rId812" Type="http://schemas.openxmlformats.org/officeDocument/2006/relationships/hyperlink" Target="https://drive.google.com/open?id=1iWP_aL704XFFW_3MHt9o3Z_6mBa5fbmG" TargetMode="External"/><Relationship Id="rId609" Type="http://schemas.openxmlformats.org/officeDocument/2006/relationships/hyperlink" Target="https://drive.google.com/open?id=1Nd_brZSLXCVlkgVl6tqq4vw-ALPDo2cW" TargetMode="External"/><Relationship Id="rId608" Type="http://schemas.openxmlformats.org/officeDocument/2006/relationships/hyperlink" Target="https://drive.google.com/open?id=1D_KYEWq9T1x-Cu10EDk4rYas_IPAYVeG" TargetMode="External"/><Relationship Id="rId607" Type="http://schemas.openxmlformats.org/officeDocument/2006/relationships/hyperlink" Target="https://drive.google.com/open?id=1iwF_R_3u7vFsexv6whx0kq3FpL_j_UVM" TargetMode="External"/><Relationship Id="rId849" Type="http://schemas.openxmlformats.org/officeDocument/2006/relationships/hyperlink" Target="https://drive.google.com/open?id=1JTnB0zi96a71eOseczr6L1zftMrMTx4o" TargetMode="External"/><Relationship Id="rId602" Type="http://schemas.openxmlformats.org/officeDocument/2006/relationships/hyperlink" Target="https://drive.google.com/open?id=192i7uFKv3Ggf3UUbAcVC-s7w34rmoXK7" TargetMode="External"/><Relationship Id="rId844" Type="http://schemas.openxmlformats.org/officeDocument/2006/relationships/hyperlink" Target="https://drive.google.com/open?id=10ZT7qxTDF46dK0b9kVlXxhFQHxcU-2vC" TargetMode="External"/><Relationship Id="rId601" Type="http://schemas.openxmlformats.org/officeDocument/2006/relationships/hyperlink" Target="https://drive.google.com/open?id=1shJSmypbqGpOa82WcPZDuJjF1z99XAhn" TargetMode="External"/><Relationship Id="rId843" Type="http://schemas.openxmlformats.org/officeDocument/2006/relationships/hyperlink" Target="https://drive.google.com/open?id=1KHec4MDClCXTTLdmznOynRipjsx3OzYc" TargetMode="External"/><Relationship Id="rId600" Type="http://schemas.openxmlformats.org/officeDocument/2006/relationships/hyperlink" Target="https://drive.google.com/open?id=123VHLsW81kf8l4FFnsSs-9oJigsMF7ea" TargetMode="External"/><Relationship Id="rId842" Type="http://schemas.openxmlformats.org/officeDocument/2006/relationships/hyperlink" Target="https://drive.google.com/open?id=1TVqVq7O4kvKuQ7NUdSZx5zbl3XE-EIyZ" TargetMode="External"/><Relationship Id="rId841" Type="http://schemas.openxmlformats.org/officeDocument/2006/relationships/hyperlink" Target="https://drive.google.com/open?id=1dWqhN-OLhuEinQ3Wnli1mnRy4EuUgHAg" TargetMode="External"/><Relationship Id="rId606" Type="http://schemas.openxmlformats.org/officeDocument/2006/relationships/hyperlink" Target="https://drive.google.com/open?id=1B0Rq20qkadRA7zntSnz1u-C__-6Fy2_U" TargetMode="External"/><Relationship Id="rId848" Type="http://schemas.openxmlformats.org/officeDocument/2006/relationships/hyperlink" Target="https://drive.google.com/open?id=1mYg2z1v9BwxOCpU5qc_XRoDRcDyLYOid" TargetMode="External"/><Relationship Id="rId605" Type="http://schemas.openxmlformats.org/officeDocument/2006/relationships/hyperlink" Target="https://drive.google.com/open?id=1wxHEKhQ3_YBV8bP0cCnrX7BRiXzF02bC" TargetMode="External"/><Relationship Id="rId847" Type="http://schemas.openxmlformats.org/officeDocument/2006/relationships/hyperlink" Target="https://drive.google.com/open?id=1uPh_Oo7edI6jvBUXfPmJqqD7XgWXPY4I" TargetMode="External"/><Relationship Id="rId604" Type="http://schemas.openxmlformats.org/officeDocument/2006/relationships/hyperlink" Target="https://drive.google.com/open?id=1d81Cs1fCCReC2QSRTn7JXDga5QhT62u7" TargetMode="External"/><Relationship Id="rId846" Type="http://schemas.openxmlformats.org/officeDocument/2006/relationships/hyperlink" Target="https://drive.google.com/open?id=1d7YoJv7RLN9RI6zowWrRtOErO6B2Ql3Y" TargetMode="External"/><Relationship Id="rId603" Type="http://schemas.openxmlformats.org/officeDocument/2006/relationships/hyperlink" Target="https://drive.google.com/open?id=1p7Vfq75yZ5x8kcWqeemmsQy3DjxToARA" TargetMode="External"/><Relationship Id="rId845" Type="http://schemas.openxmlformats.org/officeDocument/2006/relationships/hyperlink" Target="https://drive.google.com/open?id=1-vUdpmanIyAJlKeD-mCjYvE3gU9u7dfu" TargetMode="External"/><Relationship Id="rId840" Type="http://schemas.openxmlformats.org/officeDocument/2006/relationships/hyperlink" Target="https://drive.google.com/open?id=1Fk8U-6HlOos5tjZQADsN4j1g2k8qqkMp" TargetMode="External"/><Relationship Id="rId839" Type="http://schemas.openxmlformats.org/officeDocument/2006/relationships/hyperlink" Target="https://drive.google.com/open?id=1GiZ_YVLCh1qYsSD-IX5gl5JZoMB4TjhT" TargetMode="External"/><Relationship Id="rId838" Type="http://schemas.openxmlformats.org/officeDocument/2006/relationships/hyperlink" Target="https://drive.google.com/open?id=1ynxugMm_LnF_RHD1HdId42wY5dXVZH5_" TargetMode="External"/><Relationship Id="rId833" Type="http://schemas.openxmlformats.org/officeDocument/2006/relationships/hyperlink" Target="https://drive.google.com/open?id=19lyjzkR9-J7ZBAxIrmXXYVXFM5lZZm6d" TargetMode="External"/><Relationship Id="rId832" Type="http://schemas.openxmlformats.org/officeDocument/2006/relationships/hyperlink" Target="https://drive.google.com/open?id=19vbchls4QRt64NRICgY0l20TOsWFDqy7" TargetMode="External"/><Relationship Id="rId831" Type="http://schemas.openxmlformats.org/officeDocument/2006/relationships/hyperlink" Target="https://drive.google.com/open?id=1ZULM-y0fdS6tYqH7RmPkGeJC7ay8HsRV" TargetMode="External"/><Relationship Id="rId830" Type="http://schemas.openxmlformats.org/officeDocument/2006/relationships/hyperlink" Target="https://drive.google.com/open?id=1LGyE8bZqnNYSEl1DrK7DkY9IevsW908Q" TargetMode="External"/><Relationship Id="rId837" Type="http://schemas.openxmlformats.org/officeDocument/2006/relationships/hyperlink" Target="https://drive.google.com/open?id=1BBPNBpg8bkBLQPNPyMH417L49v7hJfX6" TargetMode="External"/><Relationship Id="rId836" Type="http://schemas.openxmlformats.org/officeDocument/2006/relationships/hyperlink" Target="https://drive.google.com/open?id=1El4fwc_rejxsE3f0tceiWA_Tkk13iysm" TargetMode="External"/><Relationship Id="rId835" Type="http://schemas.openxmlformats.org/officeDocument/2006/relationships/hyperlink" Target="https://drive.google.com/open?id=15KawbB5bG5YQWZ42-UyTBGTSA284zeoo" TargetMode="External"/><Relationship Id="rId834" Type="http://schemas.openxmlformats.org/officeDocument/2006/relationships/hyperlink" Target="https://drive.google.com/open?id=1o8IWW7syZ5bXbxnjooFCEUVVEL8Jtuwx" TargetMode="External"/><Relationship Id="rId228" Type="http://schemas.openxmlformats.org/officeDocument/2006/relationships/hyperlink" Target="https://drive.google.com/open?id=1cQU1Z0KH2x__I1JUlUKc-p-BSRVa9mcN" TargetMode="External"/><Relationship Id="rId227" Type="http://schemas.openxmlformats.org/officeDocument/2006/relationships/hyperlink" Target="https://drive.google.com/open?id=1_ZJZqvuIq4FSTnwKBYPE-NrIgCAE6pix" TargetMode="External"/><Relationship Id="rId469" Type="http://schemas.openxmlformats.org/officeDocument/2006/relationships/hyperlink" Target="https://drive.google.com/open?id=1JB0VYSwpBcJL2--EIqbpiVwuMOIrUpk3" TargetMode="External"/><Relationship Id="rId226" Type="http://schemas.openxmlformats.org/officeDocument/2006/relationships/hyperlink" Target="https://drive.google.com/open?id=1w_y5KxMbM6-7bVsO0Apf92DQa_vSxTCZ" TargetMode="External"/><Relationship Id="rId468" Type="http://schemas.openxmlformats.org/officeDocument/2006/relationships/hyperlink" Target="https://drive.google.com/open?id=13x0wyM3X4ewuOKH3h8ob30xMGulvlHq1" TargetMode="External"/><Relationship Id="rId225" Type="http://schemas.openxmlformats.org/officeDocument/2006/relationships/hyperlink" Target="https://drive.google.com/open?id=1G0556HKcFX2-sNuA1uAwv-L5yLA6tHg9" TargetMode="External"/><Relationship Id="rId467" Type="http://schemas.openxmlformats.org/officeDocument/2006/relationships/hyperlink" Target="https://drive.google.com/open?id=14ibe_0ECWDEMJ_a7XSmzJiT0yqWlkxgP" TargetMode="External"/><Relationship Id="rId229" Type="http://schemas.openxmlformats.org/officeDocument/2006/relationships/hyperlink" Target="https://drive.google.com/open?id=1YOwZ8LbPRVUnHRi0CiewEE_sfkUGMJ2Q" TargetMode="External"/><Relationship Id="rId220" Type="http://schemas.openxmlformats.org/officeDocument/2006/relationships/hyperlink" Target="https://drive.google.com/open?id=1p7kypx6hz_EDzXfFyPilMODJHRRuouYo" TargetMode="External"/><Relationship Id="rId462" Type="http://schemas.openxmlformats.org/officeDocument/2006/relationships/hyperlink" Target="https://drive.google.com/open?id=1IJtsmCVSN9STVWMGPttTAhJ161rOpFw9" TargetMode="External"/><Relationship Id="rId461" Type="http://schemas.openxmlformats.org/officeDocument/2006/relationships/hyperlink" Target="https://drive.google.com/open?id=1y7lokSw6hpUwehE8IW3qaKSxZi6PcLzZ" TargetMode="External"/><Relationship Id="rId460" Type="http://schemas.openxmlformats.org/officeDocument/2006/relationships/hyperlink" Target="https://drive.google.com/open?id=1FxNOcQsbY6Vxx_Qh0OjrZY5KzrWvOta3" TargetMode="External"/><Relationship Id="rId224" Type="http://schemas.openxmlformats.org/officeDocument/2006/relationships/hyperlink" Target="https://drive.google.com/open?id=15Oxy_L_1LaMeqUreL8_Z4WJ_9Q98fmHM" TargetMode="External"/><Relationship Id="rId466" Type="http://schemas.openxmlformats.org/officeDocument/2006/relationships/hyperlink" Target="https://drive.google.com/open?id=1sWaO2CfZ01PzW9Q4yVrUl6DMyqDzM2oN" TargetMode="External"/><Relationship Id="rId223" Type="http://schemas.openxmlformats.org/officeDocument/2006/relationships/hyperlink" Target="https://drive.google.com/open?id=11EJm2imNzt0K5RebeoxX7QGtYdZyoT1N" TargetMode="External"/><Relationship Id="rId465" Type="http://schemas.openxmlformats.org/officeDocument/2006/relationships/hyperlink" Target="https://drive.google.com/open?id=1SexefuQBMXHn3uuETCQZlzf3mvvWn_CC" TargetMode="External"/><Relationship Id="rId222" Type="http://schemas.openxmlformats.org/officeDocument/2006/relationships/hyperlink" Target="https://drive.google.com/open?id=1XHW6jURlgZUcf8wdj3vTrb19QdHSBtOU" TargetMode="External"/><Relationship Id="rId464" Type="http://schemas.openxmlformats.org/officeDocument/2006/relationships/hyperlink" Target="https://drive.google.com/open?id=1tR0Xyup9YF1Gk6LIcnGUi0HPxZDNLm1E" TargetMode="External"/><Relationship Id="rId221" Type="http://schemas.openxmlformats.org/officeDocument/2006/relationships/hyperlink" Target="https://drive.google.com/open?id=1U2fXVpPuJpelgGMtJIoQZtdgiiEbNGkJ" TargetMode="External"/><Relationship Id="rId463" Type="http://schemas.openxmlformats.org/officeDocument/2006/relationships/hyperlink" Target="https://drive.google.com/open?id=1reyiGpxCPln0yHSt1ULra-P7TrE5k9VB" TargetMode="External"/><Relationship Id="rId217" Type="http://schemas.openxmlformats.org/officeDocument/2006/relationships/hyperlink" Target="https://drive.google.com/open?id=1z8TrVIEqSZW8WaITdpzFkkWmZiaJ2ILn" TargetMode="External"/><Relationship Id="rId459" Type="http://schemas.openxmlformats.org/officeDocument/2006/relationships/hyperlink" Target="https://drive.google.com/open?id=1sNyP16CPjXoed7bPENsQUAc7fZsYXlSM" TargetMode="External"/><Relationship Id="rId216" Type="http://schemas.openxmlformats.org/officeDocument/2006/relationships/hyperlink" Target="https://drive.google.com/open?id=1htAUXhRi_E2X_TKrKwTJG3bgRRj0-9_g" TargetMode="External"/><Relationship Id="rId458" Type="http://schemas.openxmlformats.org/officeDocument/2006/relationships/hyperlink" Target="https://drive.google.com/open?id=1eFqmw1K2NHN56CzULZWy-SEM1m1DhnTq" TargetMode="External"/><Relationship Id="rId215" Type="http://schemas.openxmlformats.org/officeDocument/2006/relationships/hyperlink" Target="https://drive.google.com/open?id=1JvbC3FEjj3B8034TMAOsM0fWPtwr8fq5" TargetMode="External"/><Relationship Id="rId457" Type="http://schemas.openxmlformats.org/officeDocument/2006/relationships/hyperlink" Target="https://drive.google.com/open?id=1GwC0xyJfAqxI6U9CMGRmhHpJBNrKfGub" TargetMode="External"/><Relationship Id="rId699" Type="http://schemas.openxmlformats.org/officeDocument/2006/relationships/hyperlink" Target="https://drive.google.com/open?id=1fRl0qbq0I7OALea3mxUI88rMqWdH912f" TargetMode="External"/><Relationship Id="rId214" Type="http://schemas.openxmlformats.org/officeDocument/2006/relationships/hyperlink" Target="https://drive.google.com/open?id=1tmAhAtbFh_72c7KbEGRgscJXnSC6QTtz" TargetMode="External"/><Relationship Id="rId456" Type="http://schemas.openxmlformats.org/officeDocument/2006/relationships/hyperlink" Target="https://drive.google.com/open?id=1ghMK015tBddED-1kN24HBJLAZb2eAqdW" TargetMode="External"/><Relationship Id="rId698" Type="http://schemas.openxmlformats.org/officeDocument/2006/relationships/hyperlink" Target="https://drive.google.com/open?id=1Ip0908OvX0zcsSp6hdIGT_sYzTJp76pS" TargetMode="External"/><Relationship Id="rId219" Type="http://schemas.openxmlformats.org/officeDocument/2006/relationships/hyperlink" Target="https://drive.google.com/open?id=1f9zCHyQhbAZt779CSPFKZgJKstSiUhqP" TargetMode="External"/><Relationship Id="rId218" Type="http://schemas.openxmlformats.org/officeDocument/2006/relationships/hyperlink" Target="https://drive.google.com/open?id=1AH-JZwa01MX4wqi2fgVFWI_FlgokHVJA" TargetMode="External"/><Relationship Id="rId451" Type="http://schemas.openxmlformats.org/officeDocument/2006/relationships/hyperlink" Target="https://drive.google.com/open?id=1GL-mKIbUdcUvOi_q4WMq9uT38FPzNPiu" TargetMode="External"/><Relationship Id="rId693" Type="http://schemas.openxmlformats.org/officeDocument/2006/relationships/hyperlink" Target="https://drive.google.com/open?id=1orJUqekeaUM41bQzOCNuwCMnwnESiako" TargetMode="External"/><Relationship Id="rId450" Type="http://schemas.openxmlformats.org/officeDocument/2006/relationships/hyperlink" Target="https://drive.google.com/open?id=1K2MHoHsvKbb-I3pWGtOsqWq1TlWPFVWN" TargetMode="External"/><Relationship Id="rId692" Type="http://schemas.openxmlformats.org/officeDocument/2006/relationships/hyperlink" Target="https://drive.google.com/open?id=1WKyRGVDoIqzEhHMz4kZ3eI2IJ2g3ujtd" TargetMode="External"/><Relationship Id="rId691" Type="http://schemas.openxmlformats.org/officeDocument/2006/relationships/hyperlink" Target="https://drive.google.com/open?id=1iF1Bv0PX-eSjnZRmE6KNJs_oL3oxNMpx" TargetMode="External"/><Relationship Id="rId690" Type="http://schemas.openxmlformats.org/officeDocument/2006/relationships/hyperlink" Target="https://drive.google.com/open?id=1kzkWS1MDnhT5bn4CFK_SGYxtjZTaoreP" TargetMode="External"/><Relationship Id="rId213" Type="http://schemas.openxmlformats.org/officeDocument/2006/relationships/hyperlink" Target="https://drive.google.com/open?id=1ak0-JFtXsTeAmnR7Uv-QPZDptiavp5QI" TargetMode="External"/><Relationship Id="rId455" Type="http://schemas.openxmlformats.org/officeDocument/2006/relationships/hyperlink" Target="https://drive.google.com/open?id=1kEqJHsclqkMUGZ65sLoNEu5DeeAhRrGy" TargetMode="External"/><Relationship Id="rId697" Type="http://schemas.openxmlformats.org/officeDocument/2006/relationships/hyperlink" Target="https://drive.google.com/open?id=1svUkFT8qJavrmnmRIkkp7tfs1DibLlsB" TargetMode="External"/><Relationship Id="rId212" Type="http://schemas.openxmlformats.org/officeDocument/2006/relationships/hyperlink" Target="https://drive.google.com/open?id=1_gVqZDII9ju5DeTGQnw0yjxJyo8h1AgK" TargetMode="External"/><Relationship Id="rId454" Type="http://schemas.openxmlformats.org/officeDocument/2006/relationships/hyperlink" Target="https://drive.google.com/open?id=1fPpcQd6HSCY_NpaFmE580L3Wdw0LgDAI" TargetMode="External"/><Relationship Id="rId696" Type="http://schemas.openxmlformats.org/officeDocument/2006/relationships/hyperlink" Target="https://drive.google.com/open?id=1WhbEmrAv_eL5wYE_I0ZHtM4UXhkBozWq" TargetMode="External"/><Relationship Id="rId211" Type="http://schemas.openxmlformats.org/officeDocument/2006/relationships/hyperlink" Target="https://drive.google.com/open?id=1egqj1sJYN2Aoy96qb556s2PqHW-ViDJG" TargetMode="External"/><Relationship Id="rId453" Type="http://schemas.openxmlformats.org/officeDocument/2006/relationships/hyperlink" Target="https://drive.google.com/open?id=1mI7eW7KtPYxNf1hTocAbUyYlPweJfwi8" TargetMode="External"/><Relationship Id="rId695" Type="http://schemas.openxmlformats.org/officeDocument/2006/relationships/hyperlink" Target="https://drive.google.com/open?id=1elVk6imHVRsTnU_qPlP_yWRfqwRfmlM6" TargetMode="External"/><Relationship Id="rId210" Type="http://schemas.openxmlformats.org/officeDocument/2006/relationships/hyperlink" Target="https://drive.google.com/open?id=1kZFEV7fong9h32i9jSv6sK7fubnY1GLi" TargetMode="External"/><Relationship Id="rId452" Type="http://schemas.openxmlformats.org/officeDocument/2006/relationships/hyperlink" Target="https://drive.google.com/open?id=13X7uA0d3d0tvQSDsG62B33Qsj1JaXTbB" TargetMode="External"/><Relationship Id="rId694" Type="http://schemas.openxmlformats.org/officeDocument/2006/relationships/hyperlink" Target="https://drive.google.com/open?id=1iABa7IvuyqbdXVLAF2xfw_ue3ocH1qY7" TargetMode="External"/><Relationship Id="rId491" Type="http://schemas.openxmlformats.org/officeDocument/2006/relationships/hyperlink" Target="https://drive.google.com/open?id=1TjH96M2oS6GWlIzKah7DrfoMnlUbB78E" TargetMode="External"/><Relationship Id="rId490" Type="http://schemas.openxmlformats.org/officeDocument/2006/relationships/hyperlink" Target="https://drive.google.com/open?id=1sr1Vge5ewtXEi4YzUjoFTL097fjr8UjM" TargetMode="External"/><Relationship Id="rId249" Type="http://schemas.openxmlformats.org/officeDocument/2006/relationships/hyperlink" Target="https://drive.google.com/open?id=1wDHyNHFxByQiKBvyBwa9cUBv62r8oYCS" TargetMode="External"/><Relationship Id="rId248" Type="http://schemas.openxmlformats.org/officeDocument/2006/relationships/hyperlink" Target="https://drive.google.com/open?id=1ZFftXQmtJNnyieSa_e6YishCrM_X2Kpf" TargetMode="External"/><Relationship Id="rId247" Type="http://schemas.openxmlformats.org/officeDocument/2006/relationships/hyperlink" Target="https://drive.google.com/open?id=1v_XmFGfbBXnnDuBLNrQ4_umbdSXcBXyz" TargetMode="External"/><Relationship Id="rId489" Type="http://schemas.openxmlformats.org/officeDocument/2006/relationships/hyperlink" Target="https://drive.google.com/open?id=1nckfw0YkceKh3pe76tb6IGb0wcglQEZp" TargetMode="External"/><Relationship Id="rId242" Type="http://schemas.openxmlformats.org/officeDocument/2006/relationships/hyperlink" Target="https://drive.google.com/open?id=1ROTR5U1dxQd1DQDcUXEudVZ3Hwc1K9fN" TargetMode="External"/><Relationship Id="rId484" Type="http://schemas.openxmlformats.org/officeDocument/2006/relationships/hyperlink" Target="https://drive.google.com/open?id=1Bv3WkzGkHJf3k6myUNrl4WsdPWZp_kZT" TargetMode="External"/><Relationship Id="rId241" Type="http://schemas.openxmlformats.org/officeDocument/2006/relationships/hyperlink" Target="https://drive.google.com/open?id=1gsBeFKiHEQITJWc1a6Zi0VmBRa0c3TZk" TargetMode="External"/><Relationship Id="rId483" Type="http://schemas.openxmlformats.org/officeDocument/2006/relationships/hyperlink" Target="https://drive.google.com/open?id=18g0AtZt7AddRwCimuqgASsHCxKwv_SqE" TargetMode="External"/><Relationship Id="rId240" Type="http://schemas.openxmlformats.org/officeDocument/2006/relationships/hyperlink" Target="https://drive.google.com/open?id=1j1sae80_AM66tefQFpQ-w5R4sACXUiHJ" TargetMode="External"/><Relationship Id="rId482" Type="http://schemas.openxmlformats.org/officeDocument/2006/relationships/hyperlink" Target="https://drive.google.com/open?id=1MKDuaSHennG14alC7s3qOt48OSR1ILer" TargetMode="External"/><Relationship Id="rId481" Type="http://schemas.openxmlformats.org/officeDocument/2006/relationships/hyperlink" Target="https://drive.google.com/open?id=1M0wSj4aNaeA_9WQ1k-oLaRXzfQgGRvsg" TargetMode="External"/><Relationship Id="rId246" Type="http://schemas.openxmlformats.org/officeDocument/2006/relationships/hyperlink" Target="https://drive.google.com/open?id=1nVcPVsL6qOZyZzswJpK2DzeMTW3oeK7k" TargetMode="External"/><Relationship Id="rId488" Type="http://schemas.openxmlformats.org/officeDocument/2006/relationships/hyperlink" Target="https://drive.google.com/open?id=1ffjntS75OH-hXLsoO-xnrBM-ZVsGcIds" TargetMode="External"/><Relationship Id="rId245" Type="http://schemas.openxmlformats.org/officeDocument/2006/relationships/hyperlink" Target="https://drive.google.com/open?id=12vUMzHqsacjGOtgtIgp0eA66_uM6d0t4" TargetMode="External"/><Relationship Id="rId487" Type="http://schemas.openxmlformats.org/officeDocument/2006/relationships/hyperlink" Target="https://drive.google.com/open?id=1y5boq6Xkbhfohj7h0D2l82lYRQWrem0S" TargetMode="External"/><Relationship Id="rId244" Type="http://schemas.openxmlformats.org/officeDocument/2006/relationships/hyperlink" Target="https://drive.google.com/open?id=14hHJl3hhrrODrd--jaXECJjtdWuyYuZl" TargetMode="External"/><Relationship Id="rId486" Type="http://schemas.openxmlformats.org/officeDocument/2006/relationships/hyperlink" Target="https://drive.google.com/open?id=15WKVp0PCtSnhMvXevRBgl3NRTeJtVKlL" TargetMode="External"/><Relationship Id="rId243" Type="http://schemas.openxmlformats.org/officeDocument/2006/relationships/hyperlink" Target="https://drive.google.com/open?id=1JOLaa8QCPngHsZD00CYOPb2_NCzgLMbI" TargetMode="External"/><Relationship Id="rId485" Type="http://schemas.openxmlformats.org/officeDocument/2006/relationships/hyperlink" Target="https://drive.google.com/open?id=1-cPMSM8GFynMghSgTgawFyFOwQChYVfg" TargetMode="External"/><Relationship Id="rId480" Type="http://schemas.openxmlformats.org/officeDocument/2006/relationships/hyperlink" Target="https://drive.google.com/open?id=1GK_iotbIz7fxLoRoIm2o1UfRNOr98x4u" TargetMode="External"/><Relationship Id="rId239" Type="http://schemas.openxmlformats.org/officeDocument/2006/relationships/hyperlink" Target="https://drive.google.com/open?id=17FjGPl8gmhGh9qAjgKZxi4hnXR7cUcgT" TargetMode="External"/><Relationship Id="rId238" Type="http://schemas.openxmlformats.org/officeDocument/2006/relationships/hyperlink" Target="https://drive.google.com/open?id=1wXmgVJTuEx4fUMb3p_VmmsPQV-9iJufD" TargetMode="External"/><Relationship Id="rId237" Type="http://schemas.openxmlformats.org/officeDocument/2006/relationships/hyperlink" Target="https://drive.google.com/open?id=1pRFlF11xH3fySvGG_BzzFgaAj_tVQOqv" TargetMode="External"/><Relationship Id="rId479" Type="http://schemas.openxmlformats.org/officeDocument/2006/relationships/hyperlink" Target="https://drive.google.com/open?id=1H459PqGoYFce4WUXrhSz3bHZAHmjjkH-" TargetMode="External"/><Relationship Id="rId236" Type="http://schemas.openxmlformats.org/officeDocument/2006/relationships/hyperlink" Target="https://drive.google.com/open?id=1pB7ItucXQSQ-uSNsA69rKFb9gnMhBtra" TargetMode="External"/><Relationship Id="rId478" Type="http://schemas.openxmlformats.org/officeDocument/2006/relationships/hyperlink" Target="https://drive.google.com/open?id=1phB1nIdMsd3Wa8b65gXnCj9ZzcoHYSq9" TargetMode="External"/><Relationship Id="rId231" Type="http://schemas.openxmlformats.org/officeDocument/2006/relationships/hyperlink" Target="https://drive.google.com/open?id=1ETlcyLVCHd6tF6nD3qCvCMDBz4ymzTri" TargetMode="External"/><Relationship Id="rId473" Type="http://schemas.openxmlformats.org/officeDocument/2006/relationships/hyperlink" Target="https://drive.google.com/open?id=1ym9q0TWwOk3XbzEbrT6BQHvNhlj8jOLG" TargetMode="External"/><Relationship Id="rId230" Type="http://schemas.openxmlformats.org/officeDocument/2006/relationships/hyperlink" Target="https://drive.google.com/open?id=17z3NeBZm8AjGJFV8yN_bIkkeT8KsMlNS" TargetMode="External"/><Relationship Id="rId472" Type="http://schemas.openxmlformats.org/officeDocument/2006/relationships/hyperlink" Target="https://drive.google.com/open?id=16WJeK4948JerLTgt6y9EH287-Py3-1ui" TargetMode="External"/><Relationship Id="rId471" Type="http://schemas.openxmlformats.org/officeDocument/2006/relationships/hyperlink" Target="https://drive.google.com/open?id=1rGCw64DG1EqLvCrxGZRT2Ukrkfts_cyC" TargetMode="External"/><Relationship Id="rId470" Type="http://schemas.openxmlformats.org/officeDocument/2006/relationships/hyperlink" Target="https://drive.google.com/open?id=1Y4QugCpP-8SDwH9qTyOsjH5POgiXbzZg" TargetMode="External"/><Relationship Id="rId235" Type="http://schemas.openxmlformats.org/officeDocument/2006/relationships/hyperlink" Target="https://drive.google.com/open?id=1gkaqyIG-vX1eg-1qypppimziXonKFOmC" TargetMode="External"/><Relationship Id="rId477" Type="http://schemas.openxmlformats.org/officeDocument/2006/relationships/hyperlink" Target="https://drive.google.com/open?id=1rV2a9eF0TaiyUY9Nj2MZPZRHnP8F8-P3" TargetMode="External"/><Relationship Id="rId234" Type="http://schemas.openxmlformats.org/officeDocument/2006/relationships/hyperlink" Target="https://drive.google.com/open?id=190NxBKSDh1vFyHKHBAUVOgDQQQIsxsWa" TargetMode="External"/><Relationship Id="rId476" Type="http://schemas.openxmlformats.org/officeDocument/2006/relationships/hyperlink" Target="https://drive.google.com/open?id=1cJYeC-4KI7j102O0FemgDkDoaDkqw-mZ" TargetMode="External"/><Relationship Id="rId233" Type="http://schemas.openxmlformats.org/officeDocument/2006/relationships/hyperlink" Target="https://drive.google.com/open?id=14kXnvqj76Hlyb4pSoQK54QfkzCE-lXwA" TargetMode="External"/><Relationship Id="rId475" Type="http://schemas.openxmlformats.org/officeDocument/2006/relationships/hyperlink" Target="https://drive.google.com/open?id=1XRWzXMB4VJMjJoU1sR7KsWMxzcdK5_PS" TargetMode="External"/><Relationship Id="rId232" Type="http://schemas.openxmlformats.org/officeDocument/2006/relationships/hyperlink" Target="https://drive.google.com/open?id=1la_95TcUHg0cBV7IRNxwMXKdDKxFhtMv" TargetMode="External"/><Relationship Id="rId474" Type="http://schemas.openxmlformats.org/officeDocument/2006/relationships/hyperlink" Target="https://drive.google.com/open?id=1q6WkcSHnczmha0YXg8wV5NCRHi6Sixuo" TargetMode="External"/><Relationship Id="rId426" Type="http://schemas.openxmlformats.org/officeDocument/2006/relationships/hyperlink" Target="https://drive.google.com/open?id=1jWkjqOImtLqf_GUoY9R3DrhmRMNGIdnY" TargetMode="External"/><Relationship Id="rId668" Type="http://schemas.openxmlformats.org/officeDocument/2006/relationships/hyperlink" Target="https://drive.google.com/open?id=16bvZeVw9-NR_ggPkKnQ9y4Y4Y203fmlu" TargetMode="External"/><Relationship Id="rId425" Type="http://schemas.openxmlformats.org/officeDocument/2006/relationships/hyperlink" Target="https://drive.google.com/open?id=1mWjjDTEk0jJY6V2Zx6Hg1oOpglVNp3Vz" TargetMode="External"/><Relationship Id="rId667" Type="http://schemas.openxmlformats.org/officeDocument/2006/relationships/hyperlink" Target="https://drive.google.com/open?id=1USfL59WYkwf_N9EGhXrxEYHRohsjhjR5" TargetMode="External"/><Relationship Id="rId424" Type="http://schemas.openxmlformats.org/officeDocument/2006/relationships/hyperlink" Target="https://drive.google.com/open?id=1J0Ouvw0hqv8bdT-sScYGus0WF991SBau" TargetMode="External"/><Relationship Id="rId666" Type="http://schemas.openxmlformats.org/officeDocument/2006/relationships/hyperlink" Target="https://drive.google.com/open?id=1cutauYeVxgJCWjEMqcCACzXqhm0X35q_" TargetMode="External"/><Relationship Id="rId423" Type="http://schemas.openxmlformats.org/officeDocument/2006/relationships/hyperlink" Target="https://drive.google.com/open?id=1JLk7RYFfkG2zInBF7Lzg04xkbEXVKuW4" TargetMode="External"/><Relationship Id="rId665" Type="http://schemas.openxmlformats.org/officeDocument/2006/relationships/hyperlink" Target="https://drive.google.com/open?id=1bVk5PG2SEbCGCUtD12ROZhAmkrKEr88B" TargetMode="External"/><Relationship Id="rId429" Type="http://schemas.openxmlformats.org/officeDocument/2006/relationships/hyperlink" Target="https://drive.google.com/open?id=1pma0AionGOevI_seZcEuNT9D7j8qh89X" TargetMode="External"/><Relationship Id="rId428" Type="http://schemas.openxmlformats.org/officeDocument/2006/relationships/hyperlink" Target="https://drive.google.com/open?id=1b8vPHP0vwEiGohYaC44KYKZ6YTlBfogE" TargetMode="External"/><Relationship Id="rId427" Type="http://schemas.openxmlformats.org/officeDocument/2006/relationships/hyperlink" Target="https://drive.google.com/open?id=13NzMSuB0bXiqpImiq45C_jtHamGGzKnF" TargetMode="External"/><Relationship Id="rId669" Type="http://schemas.openxmlformats.org/officeDocument/2006/relationships/hyperlink" Target="https://drive.google.com/open?id=1azUYANVUckKxPBGzmCItdA6wbW_A-7w8" TargetMode="External"/><Relationship Id="rId660" Type="http://schemas.openxmlformats.org/officeDocument/2006/relationships/hyperlink" Target="https://drive.google.com/open?id=1h-ogTr-_EZpZqiuX2eK-goxRu6XK1co1" TargetMode="External"/><Relationship Id="rId422" Type="http://schemas.openxmlformats.org/officeDocument/2006/relationships/hyperlink" Target="https://drive.google.com/open?id=1Dj7lHrYFyhj4pYgD6D8dSXFJSBT2jqGN" TargetMode="External"/><Relationship Id="rId664" Type="http://schemas.openxmlformats.org/officeDocument/2006/relationships/hyperlink" Target="https://drive.google.com/open?id=1rf5r-g-TBlGw_ShVRORyKIZ9LCxJKUar" TargetMode="External"/><Relationship Id="rId421" Type="http://schemas.openxmlformats.org/officeDocument/2006/relationships/hyperlink" Target="https://drive.google.com/open?id=1tjMnOg3IKyJvqjb2dtnTaZyY0IbkeljU" TargetMode="External"/><Relationship Id="rId663" Type="http://schemas.openxmlformats.org/officeDocument/2006/relationships/hyperlink" Target="https://drive.google.com/open?id=1BKzlb3jM-w179U4DzcK0z5hNg4ReW3-J" TargetMode="External"/><Relationship Id="rId420" Type="http://schemas.openxmlformats.org/officeDocument/2006/relationships/hyperlink" Target="https://drive.google.com/open?id=1FmkiUGUWIvE9sxpm_DlSB7NPzvpxk_1V" TargetMode="External"/><Relationship Id="rId662" Type="http://schemas.openxmlformats.org/officeDocument/2006/relationships/hyperlink" Target="https://drive.google.com/open?id=1SBS6fLaLy__aUbbxkqaVADE-yqAvMggG" TargetMode="External"/><Relationship Id="rId661" Type="http://schemas.openxmlformats.org/officeDocument/2006/relationships/hyperlink" Target="https://drive.google.com/open?id=1yxHL4dzujJlJWXcBMuSI556TfJbHPc-G" TargetMode="External"/><Relationship Id="rId415" Type="http://schemas.openxmlformats.org/officeDocument/2006/relationships/hyperlink" Target="https://drive.google.com/open?id=1Q0tnqwGcZzLNrdr_-nhZ7rg0dD5rHlYw" TargetMode="External"/><Relationship Id="rId657" Type="http://schemas.openxmlformats.org/officeDocument/2006/relationships/hyperlink" Target="https://drive.google.com/open?id=1D1xSGgNORHhJpAAdzBC9xoM3bq6dFEAV" TargetMode="External"/><Relationship Id="rId899" Type="http://schemas.openxmlformats.org/officeDocument/2006/relationships/hyperlink" Target="https://drive.google.com/open?id=1wAfDUxi5SZGtRtRXsjJwcaWDs3JOLQ-g" TargetMode="External"/><Relationship Id="rId414" Type="http://schemas.openxmlformats.org/officeDocument/2006/relationships/hyperlink" Target="https://drive.google.com/open?id=1-fjcWW0carnu0dzIzNSrT45ykWTPRZI1" TargetMode="External"/><Relationship Id="rId656" Type="http://schemas.openxmlformats.org/officeDocument/2006/relationships/hyperlink" Target="https://drive.google.com/open?id=1IHgh674XmYD6i-n2jt9zQyybUN_wqz1E" TargetMode="External"/><Relationship Id="rId898" Type="http://schemas.openxmlformats.org/officeDocument/2006/relationships/hyperlink" Target="https://drive.google.com/open?id=17PxRMsYXgc0LMlF_9Ls2uX5VxeXUzjIy" TargetMode="External"/><Relationship Id="rId413" Type="http://schemas.openxmlformats.org/officeDocument/2006/relationships/hyperlink" Target="https://drive.google.com/open?id=1lzW61C4fxz_L_tC0Bqnc21ATa0vn1Hmm" TargetMode="External"/><Relationship Id="rId655" Type="http://schemas.openxmlformats.org/officeDocument/2006/relationships/hyperlink" Target="https://drive.google.com/open?id=1SBbiV0QcaX_OmdWxtgZJW4xivTH8tWLg" TargetMode="External"/><Relationship Id="rId897" Type="http://schemas.openxmlformats.org/officeDocument/2006/relationships/hyperlink" Target="https://drive.google.com/open?id=1hHCckprz6cMbXzjALs1VqKyT3lOQih99" TargetMode="External"/><Relationship Id="rId412" Type="http://schemas.openxmlformats.org/officeDocument/2006/relationships/hyperlink" Target="https://drive.google.com/open?id=1ADZ4UNO4hXMOBRpNhFNBgwN5LJWCOOMX" TargetMode="External"/><Relationship Id="rId654" Type="http://schemas.openxmlformats.org/officeDocument/2006/relationships/hyperlink" Target="https://drive.google.com/open?id=1iJB4u4hZUN8tMULC3QnbexFkgp4OGD4h" TargetMode="External"/><Relationship Id="rId896" Type="http://schemas.openxmlformats.org/officeDocument/2006/relationships/hyperlink" Target="https://drive.google.com/open?id=1GfiD5zfqgvcgNvSZG2E-QMa_ciS1b0sp" TargetMode="External"/><Relationship Id="rId419" Type="http://schemas.openxmlformats.org/officeDocument/2006/relationships/hyperlink" Target="https://drive.google.com/open?id=1t8ttlChOE5S7BmsDGo1WQ680sCDHVDp_" TargetMode="External"/><Relationship Id="rId418" Type="http://schemas.openxmlformats.org/officeDocument/2006/relationships/hyperlink" Target="https://drive.google.com/open?id=1YYr1P3pfpR3EQs0lXgetPKOfu9vCF0HR" TargetMode="External"/><Relationship Id="rId417" Type="http://schemas.openxmlformats.org/officeDocument/2006/relationships/hyperlink" Target="https://drive.google.com/open?id=18HD2pzmXf-u_qnChw4dpWoGawT6rm-25" TargetMode="External"/><Relationship Id="rId659" Type="http://schemas.openxmlformats.org/officeDocument/2006/relationships/hyperlink" Target="https://drive.google.com/open?id=1VZ1_HkE8q76_iJIfbXaDiGpp9TDdJ0uS" TargetMode="External"/><Relationship Id="rId416" Type="http://schemas.openxmlformats.org/officeDocument/2006/relationships/hyperlink" Target="https://drive.google.com/open?id=1hh--171Kc5V_2P39-eWMK1Hlfthzz7jn" TargetMode="External"/><Relationship Id="rId658" Type="http://schemas.openxmlformats.org/officeDocument/2006/relationships/hyperlink" Target="https://drive.google.com/open?id=1bApRDA9ZqBNzeWKHT6lFojC_wGV1vc7s" TargetMode="External"/><Relationship Id="rId891" Type="http://schemas.openxmlformats.org/officeDocument/2006/relationships/hyperlink" Target="https://drive.google.com/open?id=1Rh-zl2zSEptvt2dOgoWCvUholwbPtnUk" TargetMode="External"/><Relationship Id="rId890" Type="http://schemas.openxmlformats.org/officeDocument/2006/relationships/hyperlink" Target="https://drive.google.com/open?id=17KHdmxI2UtgAzEV19zOv6wf_CEF_StTf" TargetMode="External"/><Relationship Id="rId411" Type="http://schemas.openxmlformats.org/officeDocument/2006/relationships/hyperlink" Target="https://drive.google.com/open?id=1MURAdCgn4WK_sD5Zy0nJJ6VuLgc6f9Qe" TargetMode="External"/><Relationship Id="rId653" Type="http://schemas.openxmlformats.org/officeDocument/2006/relationships/hyperlink" Target="https://drive.google.com/open?id=1i1LaK_xPlzwh9yG4HJax2-I6LuNPu8aC" TargetMode="External"/><Relationship Id="rId895" Type="http://schemas.openxmlformats.org/officeDocument/2006/relationships/hyperlink" Target="https://drive.google.com/open?id=1rOwrYa0dFPur0eD4v4LbS7vwecmCqSQH" TargetMode="External"/><Relationship Id="rId410" Type="http://schemas.openxmlformats.org/officeDocument/2006/relationships/hyperlink" Target="https://drive.google.com/open?id=15I-doUui8-ekd_z3QucTN5fl777lWGyq" TargetMode="External"/><Relationship Id="rId652" Type="http://schemas.openxmlformats.org/officeDocument/2006/relationships/hyperlink" Target="https://drive.google.com/open?id=1xS-CLIfRHlQZLUgI71ajH2uFM1gPxsCd" TargetMode="External"/><Relationship Id="rId894" Type="http://schemas.openxmlformats.org/officeDocument/2006/relationships/hyperlink" Target="https://drive.google.com/open?id=1D6s_AHXKPC37YfTtkF0egDhw8TJYe7ro" TargetMode="External"/><Relationship Id="rId651" Type="http://schemas.openxmlformats.org/officeDocument/2006/relationships/hyperlink" Target="https://drive.google.com/open?id=1XsaEQ_K_auIEAZawXZeLAJh0ICv_gs4m" TargetMode="External"/><Relationship Id="rId893" Type="http://schemas.openxmlformats.org/officeDocument/2006/relationships/hyperlink" Target="https://drive.google.com/open?id=1UHnXwnS4tK2TmY5gjVxeLnPYtS23mPl8" TargetMode="External"/><Relationship Id="rId650" Type="http://schemas.openxmlformats.org/officeDocument/2006/relationships/hyperlink" Target="https://drive.google.com/open?id=1k5t_1Wk6ixVEXVD_hTDzFmayOCGa2nMg" TargetMode="External"/><Relationship Id="rId892" Type="http://schemas.openxmlformats.org/officeDocument/2006/relationships/hyperlink" Target="https://drive.google.com/open?id=1u4LKP904UpgOtxrGOgnt9l5JQQsSKt4Q" TargetMode="External"/><Relationship Id="rId206" Type="http://schemas.openxmlformats.org/officeDocument/2006/relationships/hyperlink" Target="https://drive.google.com/open?id=1RBxDBWFlE5j4JbGuYR3xcFfvX7KcO0LX" TargetMode="External"/><Relationship Id="rId448" Type="http://schemas.openxmlformats.org/officeDocument/2006/relationships/hyperlink" Target="https://drive.google.com/open?id=13bLsPSFHD6Vb74QYY6IeJMFQju1TdTRn" TargetMode="External"/><Relationship Id="rId205" Type="http://schemas.openxmlformats.org/officeDocument/2006/relationships/hyperlink" Target="https://drive.google.com/open?id=1eoMBEv4PK4CNhAJgeHZceFUQw8buMGwI" TargetMode="External"/><Relationship Id="rId447" Type="http://schemas.openxmlformats.org/officeDocument/2006/relationships/hyperlink" Target="https://drive.google.com/open?id=1ETpy0mILKS66j-UuoPO0fASi8FM5k4QL" TargetMode="External"/><Relationship Id="rId689" Type="http://schemas.openxmlformats.org/officeDocument/2006/relationships/hyperlink" Target="https://drive.google.com/open?id=1LJlPsKJ8BKf2EpLZoHjbUNAFXSCwuc2r" TargetMode="External"/><Relationship Id="rId204" Type="http://schemas.openxmlformats.org/officeDocument/2006/relationships/hyperlink" Target="https://drive.google.com/open?id=1qThU5-bJZLlVKmT5RpllAjCUdLN4PnQl" TargetMode="External"/><Relationship Id="rId446" Type="http://schemas.openxmlformats.org/officeDocument/2006/relationships/hyperlink" Target="https://drive.google.com/open?id=1K1VyfswbVN9-ovJMvfI2X0pGimRxft4k" TargetMode="External"/><Relationship Id="rId688" Type="http://schemas.openxmlformats.org/officeDocument/2006/relationships/hyperlink" Target="https://drive.google.com/open?id=1jQlDOjng9csa05rJKxL1cjnTvU6-ysc8" TargetMode="External"/><Relationship Id="rId203" Type="http://schemas.openxmlformats.org/officeDocument/2006/relationships/hyperlink" Target="https://drive.google.com/open?id=1qAyQoD5lSbXXYjtRhu7nI4eoXVPtTbWW" TargetMode="External"/><Relationship Id="rId445" Type="http://schemas.openxmlformats.org/officeDocument/2006/relationships/hyperlink" Target="https://drive.google.com/open?id=1pEfMLrNTMSeKzIxYP5PAshQat5FTOHZs" TargetMode="External"/><Relationship Id="rId687" Type="http://schemas.openxmlformats.org/officeDocument/2006/relationships/hyperlink" Target="https://drive.google.com/open?id=1FCf9viz7HBhBUQSO7JDSD1n_u-X8UeYJ" TargetMode="External"/><Relationship Id="rId209" Type="http://schemas.openxmlformats.org/officeDocument/2006/relationships/hyperlink" Target="https://drive.google.com/open?id=1F717MCvqpR7gnALtZ6OG95w2rXC2gCW2" TargetMode="External"/><Relationship Id="rId208" Type="http://schemas.openxmlformats.org/officeDocument/2006/relationships/hyperlink" Target="https://drive.google.com/open?id=1X6lvudHUqylWb6fGUKnWxaDUyqvwAVYe" TargetMode="External"/><Relationship Id="rId207" Type="http://schemas.openxmlformats.org/officeDocument/2006/relationships/hyperlink" Target="https://drive.google.com/open?id=1Sxmjb2UWNJc-q6LRCw8T-F8V1_bhYux-" TargetMode="External"/><Relationship Id="rId449" Type="http://schemas.openxmlformats.org/officeDocument/2006/relationships/hyperlink" Target="https://drive.google.com/open?id=1Rvay78Ij2iPzJZfFhjik5XEICSsP0SSN" TargetMode="External"/><Relationship Id="rId440" Type="http://schemas.openxmlformats.org/officeDocument/2006/relationships/hyperlink" Target="https://drive.google.com/open?id=1ms1fg3VijXK7bb6nl9LJUVax3nsRpoWL" TargetMode="External"/><Relationship Id="rId682" Type="http://schemas.openxmlformats.org/officeDocument/2006/relationships/hyperlink" Target="https://drive.google.com/open?id=1tzPltEydSoI7UCAMd3kTOwKmYl-iXarL" TargetMode="External"/><Relationship Id="rId681" Type="http://schemas.openxmlformats.org/officeDocument/2006/relationships/hyperlink" Target="https://drive.google.com/open?id=1pwSvwj3htzSGNjHkdvX0xYFgfmrmr4N3" TargetMode="External"/><Relationship Id="rId680" Type="http://schemas.openxmlformats.org/officeDocument/2006/relationships/hyperlink" Target="https://drive.google.com/open?id=1dGdlhTkkKHuMG4tEc0OxqjPuL-pPen58" TargetMode="External"/><Relationship Id="rId202" Type="http://schemas.openxmlformats.org/officeDocument/2006/relationships/hyperlink" Target="https://drive.google.com/open?id=1-tKf8mDWpOq24TsT1qBytcI5gvwUNrnz" TargetMode="External"/><Relationship Id="rId444" Type="http://schemas.openxmlformats.org/officeDocument/2006/relationships/hyperlink" Target="https://drive.google.com/open?id=16UKqTIqO0PtbNtDaCC0LnNPiV4S1kgf3" TargetMode="External"/><Relationship Id="rId686" Type="http://schemas.openxmlformats.org/officeDocument/2006/relationships/hyperlink" Target="https://drive.google.com/open?id=1VVFhGglK_zQN3QEPazkuJVjuBnRZboEN" TargetMode="External"/><Relationship Id="rId201" Type="http://schemas.openxmlformats.org/officeDocument/2006/relationships/hyperlink" Target="https://drive.google.com/open?id=17RN5pUZjs03sE176WdMvZsNVviLNOnMZ" TargetMode="External"/><Relationship Id="rId443" Type="http://schemas.openxmlformats.org/officeDocument/2006/relationships/hyperlink" Target="https://drive.google.com/open?id=1YO4Cr-zXWXITsIP7SRqlp-7fBJf683gQ" TargetMode="External"/><Relationship Id="rId685" Type="http://schemas.openxmlformats.org/officeDocument/2006/relationships/hyperlink" Target="https://drive.google.com/open?id=1KQs_TLg79Z9tpcvAzpP5n9xRcMm2cV_c" TargetMode="External"/><Relationship Id="rId200" Type="http://schemas.openxmlformats.org/officeDocument/2006/relationships/hyperlink" Target="https://drive.google.com/open?id=1v8sK6MODyeSeY7T8gLKsGQKdGgGGBZ4q" TargetMode="External"/><Relationship Id="rId442" Type="http://schemas.openxmlformats.org/officeDocument/2006/relationships/hyperlink" Target="https://drive.google.com/open?id=1QAmjIsrh-J3tVltvCuInizpg8OMB7b5G" TargetMode="External"/><Relationship Id="rId684" Type="http://schemas.openxmlformats.org/officeDocument/2006/relationships/hyperlink" Target="https://drive.google.com/open?id=1vXoDro__Rq_Ng5RVQe2FaQvz1XpHmjfa" TargetMode="External"/><Relationship Id="rId441" Type="http://schemas.openxmlformats.org/officeDocument/2006/relationships/hyperlink" Target="https://drive.google.com/open?id=1sl3KmZgDD76VLUJKmR3insZ0dd5vaJYD" TargetMode="External"/><Relationship Id="rId683" Type="http://schemas.openxmlformats.org/officeDocument/2006/relationships/hyperlink" Target="https://drive.google.com/open?id=1jIjb1ixj6JTvYldHwG9bm78U1DNQhRu5" TargetMode="External"/><Relationship Id="rId437" Type="http://schemas.openxmlformats.org/officeDocument/2006/relationships/hyperlink" Target="https://drive.google.com/open?id=1GvE6BOeMxbBB36ZM_bji7bdz3cvv3D5y" TargetMode="External"/><Relationship Id="rId679" Type="http://schemas.openxmlformats.org/officeDocument/2006/relationships/hyperlink" Target="https://drive.google.com/open?id=1hkMie-O4n7mxMo-9ISLm_fHZiiC68LG6" TargetMode="External"/><Relationship Id="rId436" Type="http://schemas.openxmlformats.org/officeDocument/2006/relationships/hyperlink" Target="https://drive.google.com/open?id=10H5jfG5BVQkhdFy9f_7bKAKk83wjeQsr" TargetMode="External"/><Relationship Id="rId678" Type="http://schemas.openxmlformats.org/officeDocument/2006/relationships/hyperlink" Target="https://drive.google.com/open?id=1ksqZCKb8Uy8IlYStPIwFcrEmhdBaI5gS" TargetMode="External"/><Relationship Id="rId435" Type="http://schemas.openxmlformats.org/officeDocument/2006/relationships/hyperlink" Target="https://drive.google.com/open?id=18jk48ZQ_C2_geYaxUEOdsPUqdBCVfKNv" TargetMode="External"/><Relationship Id="rId677" Type="http://schemas.openxmlformats.org/officeDocument/2006/relationships/hyperlink" Target="https://drive.google.com/open?id=1BvlfsLbgbdg-L2EQivgQZphEfoP23_Tm" TargetMode="External"/><Relationship Id="rId434" Type="http://schemas.openxmlformats.org/officeDocument/2006/relationships/hyperlink" Target="https://drive.google.com/open?id=1Hr7jlW3zAb4eIImq8YLX2P0y9QLiSL2A" TargetMode="External"/><Relationship Id="rId676" Type="http://schemas.openxmlformats.org/officeDocument/2006/relationships/hyperlink" Target="https://drive.google.com/open?id=1ySt1N5fmBBAC9rdPZLsZxBqlCz-I_rW3" TargetMode="External"/><Relationship Id="rId439" Type="http://schemas.openxmlformats.org/officeDocument/2006/relationships/hyperlink" Target="https://drive.google.com/open?id=1KlhsHSCvyEY2qnFzb-p-mEtXyAxU-RoB" TargetMode="External"/><Relationship Id="rId438" Type="http://schemas.openxmlformats.org/officeDocument/2006/relationships/hyperlink" Target="https://drive.google.com/open?id=1F9O_SnmZ17drgINZSXEvgbyNGwzeWCM5" TargetMode="External"/><Relationship Id="rId671" Type="http://schemas.openxmlformats.org/officeDocument/2006/relationships/hyperlink" Target="https://drive.google.com/open?id=1rSQRP1QkYOkUoNnxPqA7xbDauf6EDnUD" TargetMode="External"/><Relationship Id="rId670" Type="http://schemas.openxmlformats.org/officeDocument/2006/relationships/hyperlink" Target="https://drive.google.com/open?id=1h80BfA1qLlCzPrWVS2nWaAdRLrYb8-81" TargetMode="External"/><Relationship Id="rId433" Type="http://schemas.openxmlformats.org/officeDocument/2006/relationships/hyperlink" Target="https://drive.google.com/open?id=1mV9EN8q7TNZyuM0YS4JCOvHCKyji2aid" TargetMode="External"/><Relationship Id="rId675" Type="http://schemas.openxmlformats.org/officeDocument/2006/relationships/hyperlink" Target="https://drive.google.com/open?id=1H7nAGAnAB9_hCr00ihluggcPsQm6WxxZ" TargetMode="External"/><Relationship Id="rId432" Type="http://schemas.openxmlformats.org/officeDocument/2006/relationships/hyperlink" Target="https://drive.google.com/open?id=1jz7CerSbdXvZWHwaXQyO1r9IgW2u2-J8" TargetMode="External"/><Relationship Id="rId674" Type="http://schemas.openxmlformats.org/officeDocument/2006/relationships/hyperlink" Target="https://drive.google.com/open?id=1eTZsR_4Sbb32hkn90H-fO_todMzTZR7t" TargetMode="External"/><Relationship Id="rId431" Type="http://schemas.openxmlformats.org/officeDocument/2006/relationships/hyperlink" Target="https://drive.google.com/open?id=1Yq8b4jN_xo0CbIpw88J6x2x50Dye9oFa" TargetMode="External"/><Relationship Id="rId673" Type="http://schemas.openxmlformats.org/officeDocument/2006/relationships/hyperlink" Target="https://drive.google.com/open?id=1vKw6VLE4VhbU6gUOlZIWh-MlpIQFf3Jk" TargetMode="External"/><Relationship Id="rId430" Type="http://schemas.openxmlformats.org/officeDocument/2006/relationships/hyperlink" Target="https://drive.google.com/open?id=1sX8ltD1aRO-v0eNHKRQmlTO09nMrhjnO" TargetMode="External"/><Relationship Id="rId672" Type="http://schemas.openxmlformats.org/officeDocument/2006/relationships/hyperlink" Target="https://drive.google.com/open?id=1LC0z21nrkZSZGjPXVehoHf9dcfa66oH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63"/>
    <col customWidth="1" min="4" max="4" width="23.38"/>
    <col customWidth="1" min="5" max="5" width="32.88"/>
    <col customWidth="1" min="6" max="6" width="18.88"/>
    <col customWidth="1" min="7" max="7" width="19.13"/>
    <col customWidth="1" min="8" max="9" width="18.88"/>
    <col customWidth="1" min="10" max="10" width="21.63"/>
    <col customWidth="1" min="11" max="11" width="18.88"/>
    <col customWidth="1" min="12" max="12" width="21.63"/>
    <col customWidth="1" min="13" max="13" width="23.13"/>
    <col customWidth="1" min="14" max="14" width="20.88"/>
    <col customWidth="1" min="15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4" t="s">
        <v>15</v>
      </c>
      <c r="Q1" s="4" t="s">
        <v>16</v>
      </c>
    </row>
    <row r="2" ht="22.5" customHeight="1">
      <c r="A2" s="5">
        <v>45786.74125101852</v>
      </c>
      <c r="B2" s="6" t="s">
        <v>17</v>
      </c>
      <c r="C2" s="7" t="s">
        <v>18</v>
      </c>
      <c r="D2" s="6" t="s">
        <v>19</v>
      </c>
      <c r="E2" s="7" t="s">
        <v>20</v>
      </c>
      <c r="F2" s="6" t="s">
        <v>21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8"/>
      <c r="M2" s="8"/>
      <c r="N2" s="8"/>
      <c r="O2" s="8"/>
      <c r="P2" s="8"/>
      <c r="Q2" s="8"/>
    </row>
    <row r="3" ht="80.25" customHeight="1">
      <c r="A3" s="9">
        <v>45790.53076115741</v>
      </c>
      <c r="B3" s="10" t="s">
        <v>26</v>
      </c>
      <c r="C3" s="11" t="s">
        <v>27</v>
      </c>
      <c r="D3" s="10" t="s">
        <v>28</v>
      </c>
      <c r="E3" s="10" t="s">
        <v>29</v>
      </c>
      <c r="F3" s="10" t="s">
        <v>30</v>
      </c>
      <c r="G3" s="10" t="s">
        <v>30</v>
      </c>
      <c r="H3" s="10" t="s">
        <v>22</v>
      </c>
      <c r="I3" s="10" t="s">
        <v>23</v>
      </c>
      <c r="J3" s="10" t="s">
        <v>31</v>
      </c>
      <c r="K3" s="10" t="s">
        <v>32</v>
      </c>
      <c r="L3" s="12" t="s">
        <v>33</v>
      </c>
      <c r="M3" s="12" t="s">
        <v>34</v>
      </c>
      <c r="N3" s="12" t="s">
        <v>35</v>
      </c>
      <c r="O3" s="13"/>
      <c r="P3" s="13"/>
      <c r="Q3" s="14"/>
    </row>
    <row r="4" ht="22.5" customHeight="1">
      <c r="A4" s="9">
        <v>45791.598691562496</v>
      </c>
      <c r="B4" s="10" t="s">
        <v>36</v>
      </c>
      <c r="C4" s="11" t="s">
        <v>37</v>
      </c>
      <c r="D4" s="10" t="s">
        <v>38</v>
      </c>
      <c r="E4" s="11" t="s">
        <v>39</v>
      </c>
      <c r="F4" s="10" t="s">
        <v>40</v>
      </c>
      <c r="G4" s="10" t="s">
        <v>41</v>
      </c>
      <c r="H4" s="10" t="s">
        <v>22</v>
      </c>
      <c r="I4" s="10" t="s">
        <v>23</v>
      </c>
      <c r="J4" s="10" t="s">
        <v>42</v>
      </c>
      <c r="K4" s="10" t="s">
        <v>43</v>
      </c>
      <c r="L4" s="12" t="s">
        <v>44</v>
      </c>
      <c r="M4" s="10" t="s">
        <v>45</v>
      </c>
      <c r="N4" s="12" t="s">
        <v>46</v>
      </c>
      <c r="O4" s="13"/>
      <c r="P4" s="13"/>
      <c r="Q4" s="14"/>
    </row>
    <row r="5" ht="31.5" customHeight="1">
      <c r="A5" s="9">
        <v>45795.42813934028</v>
      </c>
      <c r="B5" s="10" t="s">
        <v>47</v>
      </c>
      <c r="C5" s="11" t="s">
        <v>48</v>
      </c>
      <c r="D5" s="10" t="s">
        <v>49</v>
      </c>
      <c r="E5" s="11" t="s">
        <v>50</v>
      </c>
      <c r="F5" s="10" t="s">
        <v>51</v>
      </c>
      <c r="G5" s="10" t="s">
        <v>51</v>
      </c>
      <c r="H5" s="10" t="s">
        <v>52</v>
      </c>
      <c r="I5" s="10" t="s">
        <v>23</v>
      </c>
      <c r="J5" s="10" t="s">
        <v>53</v>
      </c>
      <c r="K5" s="10" t="s">
        <v>54</v>
      </c>
      <c r="L5" s="12" t="s">
        <v>55</v>
      </c>
      <c r="M5" s="12" t="s">
        <v>56</v>
      </c>
      <c r="N5" s="12" t="s">
        <v>57</v>
      </c>
      <c r="O5" s="13"/>
      <c r="P5" s="13"/>
      <c r="Q5" s="14"/>
    </row>
    <row r="6" ht="22.5" customHeight="1">
      <c r="A6" s="9">
        <v>45795.43463225695</v>
      </c>
      <c r="B6" s="10" t="s">
        <v>58</v>
      </c>
      <c r="C6" s="11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22</v>
      </c>
      <c r="I6" s="10" t="s">
        <v>23</v>
      </c>
      <c r="J6" s="10" t="s">
        <v>64</v>
      </c>
      <c r="K6" s="10" t="s">
        <v>65</v>
      </c>
      <c r="M6" s="12" t="s">
        <v>66</v>
      </c>
      <c r="N6" s="12" t="s">
        <v>67</v>
      </c>
      <c r="O6" s="13"/>
      <c r="P6" s="13"/>
      <c r="Q6" s="14"/>
    </row>
    <row r="7" ht="22.5" customHeight="1">
      <c r="A7" s="9">
        <v>45797.59507200231</v>
      </c>
      <c r="B7" s="10" t="s">
        <v>68</v>
      </c>
      <c r="C7" s="11" t="s">
        <v>69</v>
      </c>
      <c r="D7" s="10" t="s">
        <v>70</v>
      </c>
      <c r="E7" s="10" t="s">
        <v>71</v>
      </c>
      <c r="F7" s="10" t="s">
        <v>72</v>
      </c>
      <c r="G7" s="10" t="s">
        <v>73</v>
      </c>
      <c r="H7" s="10" t="s">
        <v>52</v>
      </c>
      <c r="I7" s="10" t="s">
        <v>23</v>
      </c>
      <c r="J7" s="10" t="s">
        <v>74</v>
      </c>
      <c r="K7" s="10" t="s">
        <v>75</v>
      </c>
      <c r="L7" s="12" t="s">
        <v>76</v>
      </c>
      <c r="M7" s="12" t="s">
        <v>77</v>
      </c>
      <c r="N7" s="12" t="s">
        <v>78</v>
      </c>
      <c r="O7" s="13"/>
      <c r="P7" s="13"/>
      <c r="Q7" s="14"/>
    </row>
    <row r="8" ht="22.5" customHeight="1">
      <c r="A8" s="9">
        <v>45797.809799016206</v>
      </c>
      <c r="B8" s="10" t="s">
        <v>79</v>
      </c>
      <c r="C8" s="11" t="s">
        <v>80</v>
      </c>
      <c r="D8" s="10" t="s">
        <v>81</v>
      </c>
      <c r="E8" s="10" t="s">
        <v>82</v>
      </c>
      <c r="F8" s="10" t="s">
        <v>83</v>
      </c>
      <c r="G8" s="10" t="s">
        <v>83</v>
      </c>
      <c r="H8" s="10" t="s">
        <v>52</v>
      </c>
      <c r="I8" s="10" t="s">
        <v>23</v>
      </c>
      <c r="J8" s="10" t="s">
        <v>84</v>
      </c>
      <c r="K8" s="10" t="s">
        <v>85</v>
      </c>
      <c r="M8" s="12" t="s">
        <v>86</v>
      </c>
      <c r="N8" s="12" t="s">
        <v>87</v>
      </c>
      <c r="O8" s="13"/>
      <c r="P8" s="13"/>
      <c r="Q8" s="14"/>
    </row>
    <row r="9" ht="22.5" customHeight="1">
      <c r="A9" s="9">
        <v>45799.73924195602</v>
      </c>
      <c r="B9" s="10" t="s">
        <v>88</v>
      </c>
      <c r="C9" s="11" t="s">
        <v>89</v>
      </c>
      <c r="D9" s="10" t="s">
        <v>90</v>
      </c>
      <c r="E9" s="11" t="s">
        <v>91</v>
      </c>
      <c r="F9" s="10" t="s">
        <v>92</v>
      </c>
      <c r="G9" s="10" t="s">
        <v>92</v>
      </c>
      <c r="H9" s="10" t="s">
        <v>22</v>
      </c>
      <c r="I9" s="10" t="s">
        <v>23</v>
      </c>
      <c r="J9" s="10" t="s">
        <v>93</v>
      </c>
      <c r="K9" s="10" t="s">
        <v>94</v>
      </c>
      <c r="L9" s="12" t="s">
        <v>95</v>
      </c>
      <c r="M9" s="12" t="s">
        <v>96</v>
      </c>
      <c r="N9" s="12" t="s">
        <v>97</v>
      </c>
      <c r="O9" s="13"/>
      <c r="P9" s="13"/>
      <c r="Q9" s="14"/>
    </row>
    <row r="10" ht="22.5" customHeight="1">
      <c r="A10" s="9">
        <v>45799.882150798614</v>
      </c>
      <c r="B10" s="10" t="s">
        <v>98</v>
      </c>
      <c r="C10" s="11" t="s">
        <v>99</v>
      </c>
      <c r="D10" s="10" t="s">
        <v>100</v>
      </c>
      <c r="E10" s="10" t="s">
        <v>101</v>
      </c>
      <c r="F10" s="10" t="s">
        <v>102</v>
      </c>
      <c r="G10" s="10" t="s">
        <v>103</v>
      </c>
      <c r="H10" s="10" t="s">
        <v>22</v>
      </c>
      <c r="I10" s="10" t="s">
        <v>23</v>
      </c>
      <c r="J10" s="10" t="s">
        <v>104</v>
      </c>
      <c r="K10" s="10" t="s">
        <v>105</v>
      </c>
      <c r="L10" s="12" t="s">
        <v>106</v>
      </c>
      <c r="M10" s="12" t="s">
        <v>107</v>
      </c>
      <c r="N10" s="12" t="s">
        <v>108</v>
      </c>
      <c r="O10" s="13"/>
      <c r="P10" s="13"/>
      <c r="Q10" s="14"/>
    </row>
    <row r="11" ht="22.5" customHeight="1">
      <c r="A11" s="9">
        <v>45803.57221452546</v>
      </c>
      <c r="B11" s="10" t="s">
        <v>109</v>
      </c>
      <c r="C11" s="11" t="s">
        <v>110</v>
      </c>
      <c r="D11" s="10" t="s">
        <v>111</v>
      </c>
      <c r="E11" s="10" t="s">
        <v>112</v>
      </c>
      <c r="F11" s="10" t="s">
        <v>113</v>
      </c>
      <c r="G11" s="10" t="s">
        <v>114</v>
      </c>
      <c r="H11" s="10" t="s">
        <v>52</v>
      </c>
      <c r="I11" s="10" t="s">
        <v>115</v>
      </c>
      <c r="J11" s="10" t="s">
        <v>116</v>
      </c>
      <c r="K11" s="10" t="s">
        <v>117</v>
      </c>
      <c r="L11" s="12" t="s">
        <v>118</v>
      </c>
      <c r="M11" s="10" t="s">
        <v>119</v>
      </c>
      <c r="N11" s="12" t="s">
        <v>120</v>
      </c>
      <c r="O11" s="13"/>
      <c r="P11" s="13"/>
      <c r="Q11" s="14"/>
    </row>
    <row r="12" ht="22.5" customHeight="1">
      <c r="A12" s="9">
        <v>45805.57710083333</v>
      </c>
      <c r="B12" s="10" t="s">
        <v>121</v>
      </c>
      <c r="C12" s="11" t="s">
        <v>122</v>
      </c>
      <c r="D12" s="10" t="s">
        <v>123</v>
      </c>
      <c r="E12" s="11" t="s">
        <v>124</v>
      </c>
      <c r="F12" s="10" t="s">
        <v>125</v>
      </c>
      <c r="G12" s="10" t="s">
        <v>126</v>
      </c>
      <c r="H12" s="10" t="s">
        <v>22</v>
      </c>
      <c r="I12" s="10" t="s">
        <v>127</v>
      </c>
      <c r="J12" s="10" t="s">
        <v>128</v>
      </c>
      <c r="K12" s="10" t="s">
        <v>129</v>
      </c>
      <c r="L12" s="12" t="s">
        <v>130</v>
      </c>
      <c r="M12" s="12" t="s">
        <v>131</v>
      </c>
      <c r="N12" s="12" t="s">
        <v>132</v>
      </c>
      <c r="O12" s="13"/>
      <c r="P12" s="13"/>
      <c r="Q12" s="14"/>
    </row>
    <row r="13" ht="22.5" customHeight="1">
      <c r="A13" s="9">
        <v>45808.50237902778</v>
      </c>
      <c r="B13" s="10" t="s">
        <v>133</v>
      </c>
      <c r="C13" s="11" t="s">
        <v>134</v>
      </c>
      <c r="D13" s="10" t="s">
        <v>135</v>
      </c>
      <c r="E13" s="11" t="s">
        <v>136</v>
      </c>
      <c r="F13" s="10" t="s">
        <v>137</v>
      </c>
      <c r="G13" s="10" t="s">
        <v>138</v>
      </c>
      <c r="H13" s="10" t="s">
        <v>52</v>
      </c>
      <c r="I13" s="10" t="s">
        <v>115</v>
      </c>
      <c r="J13" s="10" t="s">
        <v>139</v>
      </c>
      <c r="K13" s="10" t="s">
        <v>140</v>
      </c>
      <c r="L13" s="12" t="s">
        <v>141</v>
      </c>
      <c r="M13" s="10" t="s">
        <v>142</v>
      </c>
      <c r="N13" s="12" t="s">
        <v>143</v>
      </c>
      <c r="O13" s="13"/>
      <c r="P13" s="13"/>
      <c r="Q13" s="14"/>
    </row>
    <row r="14" ht="22.5" customHeight="1">
      <c r="A14" s="9">
        <v>45808.52317252315</v>
      </c>
      <c r="B14" s="10" t="s">
        <v>144</v>
      </c>
      <c r="C14" s="11" t="s">
        <v>145</v>
      </c>
      <c r="D14" s="10" t="s">
        <v>146</v>
      </c>
      <c r="E14" s="10" t="s">
        <v>147</v>
      </c>
      <c r="F14" s="10" t="s">
        <v>148</v>
      </c>
      <c r="G14" s="10" t="s">
        <v>149</v>
      </c>
      <c r="H14" s="10" t="s">
        <v>22</v>
      </c>
      <c r="I14" s="10" t="s">
        <v>115</v>
      </c>
      <c r="J14" s="10" t="s">
        <v>150</v>
      </c>
      <c r="K14" s="10" t="s">
        <v>151</v>
      </c>
      <c r="L14" s="12" t="s">
        <v>152</v>
      </c>
      <c r="M14" s="10" t="s">
        <v>153</v>
      </c>
      <c r="N14" s="12" t="s">
        <v>154</v>
      </c>
      <c r="O14" s="13"/>
      <c r="P14" s="13"/>
      <c r="Q14" s="14"/>
    </row>
    <row r="15" ht="22.5" customHeight="1">
      <c r="A15" s="9">
        <v>45808.56814274305</v>
      </c>
      <c r="B15" s="10" t="s">
        <v>155</v>
      </c>
      <c r="C15" s="11" t="s">
        <v>156</v>
      </c>
      <c r="D15" s="10" t="s">
        <v>157</v>
      </c>
      <c r="E15" s="11" t="s">
        <v>158</v>
      </c>
      <c r="F15" s="10" t="s">
        <v>159</v>
      </c>
      <c r="G15" s="10" t="s">
        <v>159</v>
      </c>
      <c r="H15" s="10" t="s">
        <v>52</v>
      </c>
      <c r="I15" s="10" t="s">
        <v>115</v>
      </c>
      <c r="J15" s="10" t="s">
        <v>64</v>
      </c>
      <c r="K15" s="10" t="s">
        <v>160</v>
      </c>
      <c r="L15" s="12" t="s">
        <v>161</v>
      </c>
      <c r="M15" s="12" t="s">
        <v>162</v>
      </c>
      <c r="N15" s="12" t="s">
        <v>163</v>
      </c>
      <c r="O15" s="12" t="s">
        <v>164</v>
      </c>
      <c r="Q15" s="8"/>
    </row>
    <row r="16" ht="22.5" customHeight="1">
      <c r="A16" s="9">
        <v>45811.66371662037</v>
      </c>
      <c r="B16" s="10" t="s">
        <v>165</v>
      </c>
      <c r="C16" s="11" t="s">
        <v>166</v>
      </c>
      <c r="D16" s="10" t="s">
        <v>167</v>
      </c>
      <c r="E16" s="11" t="s">
        <v>168</v>
      </c>
      <c r="F16" s="10" t="s">
        <v>169</v>
      </c>
      <c r="G16" s="10" t="s">
        <v>170</v>
      </c>
      <c r="H16" s="10" t="s">
        <v>22</v>
      </c>
      <c r="I16" s="10" t="s">
        <v>23</v>
      </c>
      <c r="J16" s="10" t="s">
        <v>31</v>
      </c>
      <c r="K16" s="10" t="s">
        <v>171</v>
      </c>
      <c r="L16" s="12" t="s">
        <v>172</v>
      </c>
      <c r="M16" s="12" t="s">
        <v>173</v>
      </c>
      <c r="N16" s="12" t="s">
        <v>174</v>
      </c>
      <c r="O16" s="12" t="s">
        <v>175</v>
      </c>
      <c r="Q16" s="8"/>
    </row>
    <row r="17" ht="22.5" customHeight="1">
      <c r="A17" s="9">
        <v>45813.31396630787</v>
      </c>
      <c r="B17" s="10" t="s">
        <v>176</v>
      </c>
      <c r="C17" s="11" t="s">
        <v>177</v>
      </c>
      <c r="D17" s="10" t="s">
        <v>178</v>
      </c>
      <c r="E17" s="11" t="s">
        <v>179</v>
      </c>
      <c r="F17" s="10" t="s">
        <v>180</v>
      </c>
      <c r="G17" s="10" t="s">
        <v>180</v>
      </c>
      <c r="H17" s="10" t="s">
        <v>22</v>
      </c>
      <c r="I17" s="10" t="s">
        <v>127</v>
      </c>
      <c r="J17" s="10" t="s">
        <v>181</v>
      </c>
      <c r="K17" s="10" t="s">
        <v>182</v>
      </c>
      <c r="L17" s="12" t="s">
        <v>183</v>
      </c>
      <c r="M17" s="12" t="s">
        <v>184</v>
      </c>
      <c r="N17" s="12" t="s">
        <v>185</v>
      </c>
      <c r="O17" s="12" t="s">
        <v>186</v>
      </c>
      <c r="Q17" s="8"/>
      <c r="R17" s="15"/>
    </row>
    <row r="18" ht="22.5" customHeight="1">
      <c r="A18" s="9">
        <v>45813.49480144676</v>
      </c>
      <c r="B18" s="10" t="s">
        <v>187</v>
      </c>
      <c r="C18" s="11" t="s">
        <v>188</v>
      </c>
      <c r="D18" s="10" t="s">
        <v>189</v>
      </c>
      <c r="E18" s="11" t="s">
        <v>190</v>
      </c>
      <c r="F18" s="10" t="s">
        <v>191</v>
      </c>
      <c r="G18" s="10" t="s">
        <v>192</v>
      </c>
      <c r="H18" s="10" t="s">
        <v>22</v>
      </c>
      <c r="I18" s="10" t="s">
        <v>127</v>
      </c>
      <c r="J18" s="10" t="s">
        <v>193</v>
      </c>
      <c r="K18" s="10" t="s">
        <v>194</v>
      </c>
      <c r="L18" s="12" t="s">
        <v>195</v>
      </c>
      <c r="M18" s="12" t="s">
        <v>196</v>
      </c>
      <c r="N18" s="12" t="s">
        <v>197</v>
      </c>
      <c r="O18" s="12" t="s">
        <v>198</v>
      </c>
      <c r="Q18" s="8"/>
    </row>
    <row r="19" ht="22.5" customHeight="1">
      <c r="A19" s="9">
        <v>45819.39596081019</v>
      </c>
      <c r="B19" s="10" t="s">
        <v>199</v>
      </c>
      <c r="C19" s="11" t="s">
        <v>200</v>
      </c>
      <c r="D19" s="10" t="s">
        <v>201</v>
      </c>
      <c r="E19" s="11" t="s">
        <v>202</v>
      </c>
      <c r="F19" s="10" t="s">
        <v>203</v>
      </c>
      <c r="G19" s="10" t="s">
        <v>204</v>
      </c>
      <c r="H19" s="10" t="s">
        <v>22</v>
      </c>
      <c r="I19" s="10" t="s">
        <v>127</v>
      </c>
      <c r="J19" s="10" t="s">
        <v>205</v>
      </c>
      <c r="K19" s="10" t="s">
        <v>206</v>
      </c>
      <c r="L19" s="12" t="s">
        <v>207</v>
      </c>
      <c r="M19" s="12" t="s">
        <v>208</v>
      </c>
      <c r="N19" s="12" t="s">
        <v>209</v>
      </c>
      <c r="O19" s="12" t="s">
        <v>210</v>
      </c>
      <c r="Q19" s="8"/>
    </row>
    <row r="20" ht="22.5" customHeight="1">
      <c r="A20" s="9">
        <v>45821.65018615741</v>
      </c>
      <c r="B20" s="10" t="s">
        <v>211</v>
      </c>
      <c r="C20" s="11" t="s">
        <v>212</v>
      </c>
      <c r="D20" s="10" t="s">
        <v>213</v>
      </c>
      <c r="E20" s="11" t="s">
        <v>214</v>
      </c>
      <c r="F20" s="10" t="s">
        <v>215</v>
      </c>
      <c r="G20" s="10" t="s">
        <v>215</v>
      </c>
      <c r="H20" s="10" t="s">
        <v>22</v>
      </c>
      <c r="I20" s="10" t="s">
        <v>23</v>
      </c>
      <c r="J20" s="10" t="s">
        <v>216</v>
      </c>
      <c r="K20" s="10" t="s">
        <v>217</v>
      </c>
      <c r="M20" s="12" t="s">
        <v>218</v>
      </c>
      <c r="N20" s="12" t="s">
        <v>219</v>
      </c>
      <c r="O20" s="12" t="s">
        <v>220</v>
      </c>
      <c r="Q20" s="8"/>
    </row>
    <row r="21" ht="22.5" customHeight="1">
      <c r="A21" s="9">
        <v>45825.80882681713</v>
      </c>
      <c r="B21" s="10" t="s">
        <v>221</v>
      </c>
      <c r="C21" s="11" t="s">
        <v>222</v>
      </c>
      <c r="D21" s="10" t="s">
        <v>223</v>
      </c>
      <c r="E21" s="11" t="s">
        <v>224</v>
      </c>
      <c r="F21" s="10" t="s">
        <v>225</v>
      </c>
      <c r="G21" s="10" t="s">
        <v>225</v>
      </c>
      <c r="H21" s="10" t="s">
        <v>52</v>
      </c>
      <c r="I21" s="10" t="s">
        <v>23</v>
      </c>
      <c r="J21" s="10" t="s">
        <v>226</v>
      </c>
      <c r="K21" s="10" t="s">
        <v>227</v>
      </c>
      <c r="L21" s="12" t="s">
        <v>228</v>
      </c>
      <c r="M21" s="12" t="s">
        <v>229</v>
      </c>
      <c r="N21" s="12" t="s">
        <v>230</v>
      </c>
      <c r="O21" s="12" t="s">
        <v>231</v>
      </c>
      <c r="Q21" s="8"/>
    </row>
    <row r="22" ht="22.5" customHeight="1">
      <c r="A22" s="9">
        <v>45827.55868952547</v>
      </c>
      <c r="B22" s="10" t="s">
        <v>232</v>
      </c>
      <c r="C22" s="11" t="s">
        <v>233</v>
      </c>
      <c r="D22" s="10" t="s">
        <v>234</v>
      </c>
      <c r="E22" s="10" t="s">
        <v>235</v>
      </c>
      <c r="F22" s="10" t="s">
        <v>236</v>
      </c>
      <c r="G22" s="10" t="s">
        <v>237</v>
      </c>
      <c r="H22" s="10" t="s">
        <v>52</v>
      </c>
      <c r="I22" s="10" t="s">
        <v>23</v>
      </c>
      <c r="J22" s="10" t="s">
        <v>238</v>
      </c>
      <c r="K22" s="10" t="s">
        <v>239</v>
      </c>
      <c r="L22" s="12" t="s">
        <v>240</v>
      </c>
      <c r="M22" s="12" t="s">
        <v>241</v>
      </c>
      <c r="N22" s="12" t="s">
        <v>242</v>
      </c>
      <c r="O22" s="12" t="s">
        <v>243</v>
      </c>
      <c r="Q22" s="8"/>
    </row>
    <row r="23" ht="22.5" customHeight="1">
      <c r="A23" s="9">
        <v>45828.55101206018</v>
      </c>
      <c r="B23" s="10" t="s">
        <v>244</v>
      </c>
      <c r="C23" s="11" t="s">
        <v>245</v>
      </c>
      <c r="D23" s="10" t="s">
        <v>246</v>
      </c>
      <c r="E23" s="10" t="s">
        <v>247</v>
      </c>
      <c r="F23" s="10" t="s">
        <v>248</v>
      </c>
      <c r="G23" s="10" t="s">
        <v>248</v>
      </c>
      <c r="H23" s="10" t="s">
        <v>22</v>
      </c>
      <c r="I23" s="10" t="s">
        <v>115</v>
      </c>
      <c r="J23" s="10" t="s">
        <v>64</v>
      </c>
      <c r="K23" s="10" t="s">
        <v>249</v>
      </c>
      <c r="L23" s="12" t="s">
        <v>250</v>
      </c>
      <c r="M23" s="12" t="s">
        <v>251</v>
      </c>
      <c r="N23" s="12" t="s">
        <v>252</v>
      </c>
      <c r="O23" s="12" t="s">
        <v>253</v>
      </c>
      <c r="Q23" s="8"/>
    </row>
    <row r="24" ht="22.5" customHeight="1">
      <c r="A24" s="9">
        <v>45833.493091296295</v>
      </c>
      <c r="B24" s="10" t="s">
        <v>254</v>
      </c>
      <c r="C24" s="11" t="s">
        <v>255</v>
      </c>
      <c r="D24" s="10" t="s">
        <v>256</v>
      </c>
      <c r="E24" s="10" t="s">
        <v>257</v>
      </c>
      <c r="F24" s="10" t="s">
        <v>258</v>
      </c>
      <c r="G24" s="10" t="s">
        <v>258</v>
      </c>
      <c r="H24" s="10" t="s">
        <v>22</v>
      </c>
      <c r="I24" s="10" t="s">
        <v>127</v>
      </c>
      <c r="J24" s="10" t="s">
        <v>259</v>
      </c>
      <c r="K24" s="10" t="s">
        <v>260</v>
      </c>
      <c r="L24" s="12" t="s">
        <v>261</v>
      </c>
      <c r="M24" s="12" t="s">
        <v>262</v>
      </c>
      <c r="N24" s="12" t="s">
        <v>263</v>
      </c>
      <c r="O24" s="12" t="s">
        <v>264</v>
      </c>
      <c r="Q24" s="8"/>
    </row>
    <row r="25" ht="22.5" customHeight="1">
      <c r="A25" s="9">
        <v>45835.49924471065</v>
      </c>
      <c r="B25" s="10" t="s">
        <v>265</v>
      </c>
      <c r="C25" s="11" t="s">
        <v>266</v>
      </c>
      <c r="D25" s="10" t="s">
        <v>267</v>
      </c>
      <c r="E25" s="10" t="s">
        <v>268</v>
      </c>
      <c r="F25" s="10" t="s">
        <v>269</v>
      </c>
      <c r="G25" s="10" t="s">
        <v>269</v>
      </c>
      <c r="H25" s="10" t="s">
        <v>52</v>
      </c>
      <c r="I25" s="10" t="s">
        <v>115</v>
      </c>
      <c r="J25" s="10" t="s">
        <v>270</v>
      </c>
      <c r="K25" s="10" t="s">
        <v>271</v>
      </c>
      <c r="L25" s="12" t="s">
        <v>272</v>
      </c>
      <c r="M25" s="12" t="s">
        <v>273</v>
      </c>
      <c r="N25" s="12" t="s">
        <v>274</v>
      </c>
      <c r="O25" s="12" t="s">
        <v>275</v>
      </c>
      <c r="Q25" s="8"/>
    </row>
    <row r="26" ht="22.5" customHeight="1">
      <c r="A26" s="9">
        <v>45839.94980099537</v>
      </c>
      <c r="B26" s="10" t="s">
        <v>276</v>
      </c>
      <c r="C26" s="11" t="s">
        <v>277</v>
      </c>
      <c r="D26" s="10" t="s">
        <v>278</v>
      </c>
      <c r="E26" s="11" t="s">
        <v>279</v>
      </c>
      <c r="F26" s="10" t="s">
        <v>280</v>
      </c>
      <c r="G26" s="10" t="s">
        <v>280</v>
      </c>
      <c r="H26" s="10" t="s">
        <v>22</v>
      </c>
      <c r="I26" s="10" t="s">
        <v>23</v>
      </c>
      <c r="J26" s="10" t="s">
        <v>281</v>
      </c>
      <c r="K26" s="10" t="s">
        <v>282</v>
      </c>
      <c r="L26" s="12" t="s">
        <v>283</v>
      </c>
      <c r="M26" s="12" t="s">
        <v>284</v>
      </c>
      <c r="N26" s="12" t="s">
        <v>285</v>
      </c>
      <c r="O26" s="12" t="s">
        <v>286</v>
      </c>
      <c r="Q26" s="8"/>
    </row>
    <row r="27" ht="22.5" customHeight="1">
      <c r="A27" s="9">
        <v>45840.41642435185</v>
      </c>
      <c r="B27" s="10" t="s">
        <v>287</v>
      </c>
      <c r="C27" s="11" t="s">
        <v>288</v>
      </c>
      <c r="D27" s="10" t="s">
        <v>289</v>
      </c>
      <c r="E27" s="10" t="s">
        <v>290</v>
      </c>
      <c r="F27" s="10" t="s">
        <v>291</v>
      </c>
      <c r="G27" s="10" t="s">
        <v>292</v>
      </c>
      <c r="H27" s="10" t="s">
        <v>22</v>
      </c>
      <c r="I27" s="10" t="s">
        <v>23</v>
      </c>
      <c r="J27" s="10" t="s">
        <v>293</v>
      </c>
      <c r="K27" s="10" t="s">
        <v>294</v>
      </c>
      <c r="L27" s="12" t="s">
        <v>295</v>
      </c>
      <c r="M27" s="12" t="s">
        <v>296</v>
      </c>
      <c r="N27" s="12" t="s">
        <v>297</v>
      </c>
      <c r="O27" s="12" t="s">
        <v>298</v>
      </c>
      <c r="Q27" s="8"/>
    </row>
    <row r="28" ht="22.5" customHeight="1">
      <c r="A28" s="9">
        <v>45840.62736557871</v>
      </c>
      <c r="B28" s="10" t="s">
        <v>299</v>
      </c>
      <c r="C28" s="11" t="s">
        <v>300</v>
      </c>
      <c r="D28" s="10" t="s">
        <v>301</v>
      </c>
      <c r="E28" s="11" t="s">
        <v>302</v>
      </c>
      <c r="F28" s="10" t="s">
        <v>303</v>
      </c>
      <c r="G28" s="10" t="s">
        <v>303</v>
      </c>
      <c r="H28" s="10" t="s">
        <v>22</v>
      </c>
      <c r="I28" s="10" t="s">
        <v>23</v>
      </c>
      <c r="J28" s="10" t="s">
        <v>304</v>
      </c>
      <c r="K28" s="10" t="s">
        <v>305</v>
      </c>
      <c r="L28" s="12" t="s">
        <v>306</v>
      </c>
      <c r="M28" s="12" t="s">
        <v>307</v>
      </c>
      <c r="N28" s="12" t="s">
        <v>308</v>
      </c>
      <c r="O28" s="12" t="s">
        <v>309</v>
      </c>
      <c r="Q28" s="8"/>
    </row>
    <row r="29" ht="22.5" customHeight="1">
      <c r="A29" s="9">
        <v>45843.55677083333</v>
      </c>
      <c r="B29" s="10" t="s">
        <v>310</v>
      </c>
      <c r="C29" s="11" t="s">
        <v>311</v>
      </c>
      <c r="D29" s="10" t="s">
        <v>312</v>
      </c>
      <c r="E29" s="10" t="s">
        <v>313</v>
      </c>
      <c r="F29" s="10" t="s">
        <v>314</v>
      </c>
      <c r="G29" s="10" t="s">
        <v>315</v>
      </c>
      <c r="H29" s="10" t="s">
        <v>52</v>
      </c>
      <c r="I29" s="10" t="s">
        <v>23</v>
      </c>
      <c r="J29" s="10" t="s">
        <v>31</v>
      </c>
      <c r="K29" s="10" t="s">
        <v>316</v>
      </c>
      <c r="L29" s="12" t="s">
        <v>317</v>
      </c>
      <c r="M29" s="12" t="s">
        <v>318</v>
      </c>
      <c r="N29" s="12" t="s">
        <v>319</v>
      </c>
      <c r="O29" s="12" t="s">
        <v>320</v>
      </c>
      <c r="Q29" s="8"/>
    </row>
    <row r="30" ht="22.5" customHeight="1">
      <c r="A30" s="9">
        <v>45849.35969820602</v>
      </c>
      <c r="B30" s="10" t="s">
        <v>321</v>
      </c>
      <c r="C30" s="11" t="s">
        <v>322</v>
      </c>
      <c r="D30" s="10" t="s">
        <v>323</v>
      </c>
      <c r="E30" s="11" t="s">
        <v>324</v>
      </c>
      <c r="F30" s="10" t="s">
        <v>325</v>
      </c>
      <c r="G30" s="10" t="s">
        <v>325</v>
      </c>
      <c r="H30" s="10" t="s">
        <v>22</v>
      </c>
      <c r="I30" s="10" t="s">
        <v>23</v>
      </c>
      <c r="J30" s="10" t="s">
        <v>326</v>
      </c>
      <c r="K30" s="10" t="s">
        <v>327</v>
      </c>
      <c r="L30" s="12" t="s">
        <v>328</v>
      </c>
      <c r="M30" s="12" t="s">
        <v>329</v>
      </c>
      <c r="N30" s="12" t="s">
        <v>330</v>
      </c>
      <c r="O30" s="12" t="s">
        <v>331</v>
      </c>
      <c r="Q30" s="8"/>
    </row>
    <row r="31" ht="22.5" customHeight="1">
      <c r="A31" s="9">
        <v>45853.06202777778</v>
      </c>
      <c r="B31" s="10" t="s">
        <v>332</v>
      </c>
      <c r="C31" s="11" t="s">
        <v>333</v>
      </c>
      <c r="D31" s="10" t="s">
        <v>334</v>
      </c>
      <c r="E31" s="11" t="s">
        <v>335</v>
      </c>
      <c r="F31" s="10" t="s">
        <v>336</v>
      </c>
      <c r="G31" s="10" t="s">
        <v>336</v>
      </c>
      <c r="H31" s="10" t="s">
        <v>22</v>
      </c>
      <c r="I31" s="10" t="s">
        <v>115</v>
      </c>
      <c r="J31" s="10" t="s">
        <v>337</v>
      </c>
      <c r="K31" s="10" t="s">
        <v>338</v>
      </c>
      <c r="L31" s="12" t="s">
        <v>339</v>
      </c>
      <c r="M31" s="12" t="s">
        <v>340</v>
      </c>
      <c r="N31" s="12" t="s">
        <v>341</v>
      </c>
      <c r="O31" s="12" t="s">
        <v>342</v>
      </c>
      <c r="Q31" s="8"/>
    </row>
    <row r="32" ht="22.5" customHeight="1">
      <c r="A32" s="9">
        <v>45853.49590729167</v>
      </c>
      <c r="B32" s="10" t="s">
        <v>343</v>
      </c>
      <c r="C32" s="11" t="s">
        <v>344</v>
      </c>
      <c r="D32" s="10" t="s">
        <v>345</v>
      </c>
      <c r="E32" s="11" t="s">
        <v>346</v>
      </c>
      <c r="F32" s="10" t="s">
        <v>347</v>
      </c>
      <c r="G32" s="10" t="s">
        <v>347</v>
      </c>
      <c r="H32" s="10" t="s">
        <v>22</v>
      </c>
      <c r="I32" s="10" t="s">
        <v>23</v>
      </c>
      <c r="J32" s="10" t="s">
        <v>348</v>
      </c>
      <c r="K32" s="10" t="s">
        <v>349</v>
      </c>
      <c r="L32" s="12" t="s">
        <v>350</v>
      </c>
      <c r="M32" s="12" t="s">
        <v>351</v>
      </c>
      <c r="N32" s="12" t="s">
        <v>352</v>
      </c>
      <c r="O32" s="12" t="s">
        <v>353</v>
      </c>
      <c r="Q32" s="8"/>
    </row>
    <row r="33" ht="22.5" customHeight="1">
      <c r="A33" s="9">
        <v>45854.70365790509</v>
      </c>
      <c r="B33" s="10" t="s">
        <v>354</v>
      </c>
      <c r="C33" s="11" t="s">
        <v>355</v>
      </c>
      <c r="D33" s="10" t="s">
        <v>356</v>
      </c>
      <c r="E33" s="11" t="s">
        <v>355</v>
      </c>
      <c r="F33" s="10" t="s">
        <v>357</v>
      </c>
      <c r="G33" s="10" t="s">
        <v>357</v>
      </c>
      <c r="H33" s="10" t="s">
        <v>22</v>
      </c>
      <c r="I33" s="10" t="s">
        <v>23</v>
      </c>
      <c r="J33" s="10" t="s">
        <v>358</v>
      </c>
      <c r="K33" s="10" t="s">
        <v>359</v>
      </c>
      <c r="M33" s="12" t="s">
        <v>360</v>
      </c>
      <c r="N33" s="12" t="s">
        <v>361</v>
      </c>
      <c r="O33" s="12" t="s">
        <v>362</v>
      </c>
      <c r="Q33" s="8"/>
    </row>
    <row r="34" ht="22.5" customHeight="1">
      <c r="A34" s="9">
        <v>45857.73691090278</v>
      </c>
      <c r="B34" s="10" t="s">
        <v>363</v>
      </c>
      <c r="C34" s="11" t="s">
        <v>364</v>
      </c>
      <c r="D34" s="10" t="s">
        <v>365</v>
      </c>
      <c r="E34" s="11" t="s">
        <v>366</v>
      </c>
      <c r="F34" s="10" t="s">
        <v>367</v>
      </c>
      <c r="G34" s="10" t="s">
        <v>367</v>
      </c>
      <c r="H34" s="10" t="s">
        <v>22</v>
      </c>
      <c r="I34" s="10" t="s">
        <v>115</v>
      </c>
      <c r="J34" s="10" t="s">
        <v>368</v>
      </c>
      <c r="K34" s="10" t="s">
        <v>369</v>
      </c>
      <c r="M34" s="12" t="s">
        <v>370</v>
      </c>
      <c r="N34" s="12" t="s">
        <v>371</v>
      </c>
      <c r="O34" s="12" t="s">
        <v>372</v>
      </c>
      <c r="Q34" s="8"/>
    </row>
    <row r="35" ht="22.5" customHeight="1">
      <c r="A35" s="9">
        <v>45863.41381697917</v>
      </c>
      <c r="B35" s="10" t="s">
        <v>373</v>
      </c>
      <c r="C35" s="11" t="s">
        <v>374</v>
      </c>
      <c r="D35" s="10" t="s">
        <v>375</v>
      </c>
      <c r="E35" s="11" t="s">
        <v>376</v>
      </c>
      <c r="F35" s="10" t="s">
        <v>377</v>
      </c>
      <c r="G35" s="10" t="s">
        <v>378</v>
      </c>
      <c r="H35" s="10" t="s">
        <v>22</v>
      </c>
      <c r="I35" s="10" t="s">
        <v>23</v>
      </c>
      <c r="J35" s="10" t="s">
        <v>379</v>
      </c>
      <c r="K35" s="10" t="s">
        <v>380</v>
      </c>
      <c r="L35" s="12" t="s">
        <v>381</v>
      </c>
      <c r="M35" s="12" t="s">
        <v>382</v>
      </c>
      <c r="N35" s="12" t="s">
        <v>383</v>
      </c>
      <c r="O35" s="12" t="s">
        <v>384</v>
      </c>
      <c r="Q35" s="8"/>
    </row>
    <row r="36" ht="22.5" customHeight="1">
      <c r="A36" s="9">
        <v>45863.473957152775</v>
      </c>
      <c r="B36" s="10" t="s">
        <v>385</v>
      </c>
      <c r="C36" s="11" t="s">
        <v>386</v>
      </c>
      <c r="D36" s="10" t="s">
        <v>387</v>
      </c>
      <c r="E36" s="11" t="s">
        <v>388</v>
      </c>
      <c r="F36" s="10" t="s">
        <v>389</v>
      </c>
      <c r="G36" s="10" t="s">
        <v>390</v>
      </c>
      <c r="H36" s="10" t="s">
        <v>22</v>
      </c>
      <c r="I36" s="10" t="s">
        <v>127</v>
      </c>
      <c r="J36" s="10" t="s">
        <v>391</v>
      </c>
      <c r="K36" s="10" t="s">
        <v>392</v>
      </c>
      <c r="M36" s="12" t="s">
        <v>393</v>
      </c>
      <c r="N36" s="12" t="s">
        <v>394</v>
      </c>
      <c r="O36" s="12" t="s">
        <v>395</v>
      </c>
      <c r="Q36" s="8"/>
    </row>
    <row r="37" ht="22.5" customHeight="1">
      <c r="A37" s="9">
        <v>45867.808325335645</v>
      </c>
      <c r="B37" s="10" t="s">
        <v>396</v>
      </c>
      <c r="C37" s="11" t="s">
        <v>397</v>
      </c>
      <c r="D37" s="10" t="s">
        <v>398</v>
      </c>
      <c r="E37" s="11" t="s">
        <v>399</v>
      </c>
      <c r="F37" s="10" t="s">
        <v>400</v>
      </c>
      <c r="G37" s="10" t="s">
        <v>400</v>
      </c>
      <c r="H37" s="10" t="s">
        <v>22</v>
      </c>
      <c r="I37" s="10" t="s">
        <v>115</v>
      </c>
      <c r="J37" s="10" t="s">
        <v>401</v>
      </c>
      <c r="K37" s="10" t="s">
        <v>402</v>
      </c>
      <c r="L37" s="12" t="s">
        <v>403</v>
      </c>
      <c r="M37" s="12" t="s">
        <v>404</v>
      </c>
      <c r="N37" s="12" t="s">
        <v>405</v>
      </c>
      <c r="O37" s="12" t="s">
        <v>406</v>
      </c>
      <c r="Q37" s="8"/>
    </row>
    <row r="38" ht="22.5" customHeight="1">
      <c r="A38" s="9">
        <v>45872.5296390625</v>
      </c>
      <c r="B38" s="10" t="s">
        <v>407</v>
      </c>
      <c r="C38" s="11" t="s">
        <v>408</v>
      </c>
      <c r="D38" s="10" t="s">
        <v>409</v>
      </c>
      <c r="E38" s="10" t="s">
        <v>410</v>
      </c>
      <c r="F38" s="10" t="s">
        <v>411</v>
      </c>
      <c r="G38" s="10" t="s">
        <v>412</v>
      </c>
      <c r="H38" s="10" t="s">
        <v>22</v>
      </c>
      <c r="I38" s="10" t="s">
        <v>127</v>
      </c>
      <c r="J38" s="10" t="s">
        <v>139</v>
      </c>
      <c r="K38" s="10" t="s">
        <v>413</v>
      </c>
      <c r="L38" s="12" t="s">
        <v>414</v>
      </c>
      <c r="M38" s="12" t="s">
        <v>415</v>
      </c>
      <c r="N38" s="12" t="s">
        <v>416</v>
      </c>
      <c r="O38" s="12" t="s">
        <v>417</v>
      </c>
      <c r="Q38" s="8"/>
      <c r="R38" s="15" t="s">
        <v>418</v>
      </c>
    </row>
    <row r="39" ht="22.5" customHeight="1">
      <c r="A39" s="9">
        <v>45873.42331650463</v>
      </c>
      <c r="B39" s="10" t="s">
        <v>419</v>
      </c>
      <c r="C39" s="11" t="s">
        <v>420</v>
      </c>
      <c r="D39" s="10" t="s">
        <v>421</v>
      </c>
      <c r="E39" s="11" t="s">
        <v>422</v>
      </c>
      <c r="F39" s="10" t="s">
        <v>423</v>
      </c>
      <c r="G39" s="10" t="s">
        <v>424</v>
      </c>
      <c r="H39" s="10" t="s">
        <v>52</v>
      </c>
      <c r="I39" s="10" t="s">
        <v>23</v>
      </c>
      <c r="J39" s="10" t="s">
        <v>104</v>
      </c>
      <c r="K39" s="10" t="s">
        <v>425</v>
      </c>
      <c r="M39" s="12" t="s">
        <v>426</v>
      </c>
      <c r="N39" s="12" t="s">
        <v>427</v>
      </c>
      <c r="O39" s="12" t="s">
        <v>428</v>
      </c>
      <c r="Q39" s="8"/>
    </row>
    <row r="40" ht="22.5" customHeight="1">
      <c r="A40" s="9">
        <v>45873.496661516205</v>
      </c>
      <c r="B40" s="10" t="s">
        <v>429</v>
      </c>
      <c r="C40" s="11" t="s">
        <v>430</v>
      </c>
      <c r="D40" s="10" t="s">
        <v>431</v>
      </c>
      <c r="E40" s="11" t="s">
        <v>432</v>
      </c>
      <c r="F40" s="10" t="s">
        <v>433</v>
      </c>
      <c r="G40" s="10" t="s">
        <v>434</v>
      </c>
      <c r="H40" s="10" t="s">
        <v>52</v>
      </c>
      <c r="I40" s="10" t="s">
        <v>127</v>
      </c>
      <c r="J40" s="10" t="s">
        <v>435</v>
      </c>
      <c r="K40" s="10" t="s">
        <v>436</v>
      </c>
      <c r="M40" s="12" t="s">
        <v>437</v>
      </c>
      <c r="N40" s="12" t="s">
        <v>438</v>
      </c>
      <c r="O40" s="12" t="s">
        <v>439</v>
      </c>
      <c r="Q40" s="8"/>
    </row>
    <row r="41" ht="22.5" customHeight="1">
      <c r="A41" s="9">
        <v>45873.91229810185</v>
      </c>
      <c r="B41" s="10" t="s">
        <v>440</v>
      </c>
      <c r="C41" s="11" t="s">
        <v>441</v>
      </c>
      <c r="D41" s="10" t="s">
        <v>442</v>
      </c>
      <c r="E41" s="10" t="s">
        <v>443</v>
      </c>
      <c r="F41" s="10" t="s">
        <v>444</v>
      </c>
      <c r="G41" s="10" t="s">
        <v>444</v>
      </c>
      <c r="H41" s="10" t="s">
        <v>22</v>
      </c>
      <c r="I41" s="10" t="s">
        <v>23</v>
      </c>
      <c r="J41" s="10" t="s">
        <v>445</v>
      </c>
      <c r="K41" s="10" t="s">
        <v>446</v>
      </c>
      <c r="L41" s="12" t="s">
        <v>447</v>
      </c>
      <c r="M41" s="12" t="s">
        <v>448</v>
      </c>
      <c r="N41" s="12" t="s">
        <v>449</v>
      </c>
      <c r="O41" s="12" t="s">
        <v>450</v>
      </c>
      <c r="Q41" s="8"/>
    </row>
    <row r="42" ht="22.5" customHeight="1">
      <c r="A42" s="9">
        <v>45877.3710719213</v>
      </c>
      <c r="B42" s="10" t="s">
        <v>451</v>
      </c>
      <c r="C42" s="11" t="s">
        <v>452</v>
      </c>
      <c r="D42" s="10" t="s">
        <v>453</v>
      </c>
      <c r="E42" s="11" t="s">
        <v>454</v>
      </c>
      <c r="F42" s="10" t="s">
        <v>455</v>
      </c>
      <c r="G42" s="10" t="s">
        <v>455</v>
      </c>
      <c r="H42" s="10" t="s">
        <v>52</v>
      </c>
      <c r="I42" s="10" t="s">
        <v>23</v>
      </c>
      <c r="J42" s="10" t="s">
        <v>401</v>
      </c>
      <c r="K42" s="10" t="s">
        <v>456</v>
      </c>
      <c r="M42" s="12" t="s">
        <v>457</v>
      </c>
      <c r="N42" s="12" t="s">
        <v>458</v>
      </c>
      <c r="O42" s="12" t="s">
        <v>459</v>
      </c>
      <c r="Q42" s="8"/>
    </row>
    <row r="43" ht="22.5" customHeight="1">
      <c r="A43" s="9">
        <v>45879.65323923611</v>
      </c>
      <c r="B43" s="10" t="s">
        <v>176</v>
      </c>
      <c r="C43" s="11" t="s">
        <v>177</v>
      </c>
      <c r="D43" s="10" t="s">
        <v>460</v>
      </c>
      <c r="E43" s="11" t="s">
        <v>179</v>
      </c>
      <c r="F43" s="10" t="s">
        <v>461</v>
      </c>
      <c r="G43" s="10" t="s">
        <v>461</v>
      </c>
      <c r="H43" s="10" t="s">
        <v>52</v>
      </c>
      <c r="I43" s="10" t="s">
        <v>127</v>
      </c>
      <c r="J43" s="10" t="s">
        <v>281</v>
      </c>
      <c r="K43" s="10" t="s">
        <v>462</v>
      </c>
      <c r="L43" s="12" t="s">
        <v>463</v>
      </c>
      <c r="M43" s="12" t="s">
        <v>464</v>
      </c>
      <c r="N43" s="12" t="s">
        <v>465</v>
      </c>
      <c r="O43" s="12" t="s">
        <v>466</v>
      </c>
      <c r="Q43" s="8"/>
    </row>
    <row r="44" ht="22.5" customHeight="1">
      <c r="A44" s="9">
        <v>45880.71215511574</v>
      </c>
      <c r="B44" s="10" t="s">
        <v>332</v>
      </c>
      <c r="C44" s="11" t="s">
        <v>333</v>
      </c>
      <c r="D44" s="10" t="s">
        <v>334</v>
      </c>
      <c r="E44" s="11" t="s">
        <v>335</v>
      </c>
      <c r="F44" s="10" t="s">
        <v>336</v>
      </c>
      <c r="G44" s="10" t="s">
        <v>336</v>
      </c>
      <c r="H44" s="10" t="s">
        <v>22</v>
      </c>
      <c r="I44" s="10" t="s">
        <v>115</v>
      </c>
      <c r="J44" s="10" t="s">
        <v>467</v>
      </c>
      <c r="K44" s="10" t="s">
        <v>338</v>
      </c>
      <c r="M44" s="12" t="s">
        <v>468</v>
      </c>
      <c r="N44" s="12" t="s">
        <v>469</v>
      </c>
      <c r="O44" s="12" t="s">
        <v>470</v>
      </c>
      <c r="Q44" s="8"/>
    </row>
    <row r="45" ht="22.5" customHeight="1">
      <c r="A45" s="9">
        <v>45883.34243326389</v>
      </c>
      <c r="B45" s="10" t="s">
        <v>471</v>
      </c>
      <c r="C45" s="11" t="s">
        <v>472</v>
      </c>
      <c r="D45" s="10" t="s">
        <v>473</v>
      </c>
      <c r="E45" s="10" t="s">
        <v>474</v>
      </c>
      <c r="F45" s="10" t="s">
        <v>475</v>
      </c>
      <c r="G45" s="10" t="s">
        <v>476</v>
      </c>
      <c r="H45" s="10" t="s">
        <v>22</v>
      </c>
      <c r="I45" s="10" t="s">
        <v>23</v>
      </c>
      <c r="J45" s="10" t="s">
        <v>139</v>
      </c>
      <c r="K45" s="10" t="s">
        <v>477</v>
      </c>
      <c r="L45" s="12" t="s">
        <v>478</v>
      </c>
      <c r="M45" s="12" t="s">
        <v>479</v>
      </c>
      <c r="N45" s="12" t="s">
        <v>480</v>
      </c>
      <c r="O45" s="12" t="s">
        <v>481</v>
      </c>
      <c r="Q45" s="8"/>
    </row>
    <row r="46" ht="22.5" customHeight="1">
      <c r="A46" s="9">
        <v>45883.36764548611</v>
      </c>
      <c r="B46" s="10" t="s">
        <v>482</v>
      </c>
      <c r="C46" s="11" t="s">
        <v>483</v>
      </c>
      <c r="D46" s="10" t="s">
        <v>484</v>
      </c>
      <c r="E46" s="11" t="s">
        <v>485</v>
      </c>
      <c r="F46" s="10" t="s">
        <v>486</v>
      </c>
      <c r="G46" s="10" t="s">
        <v>487</v>
      </c>
      <c r="H46" s="10" t="s">
        <v>22</v>
      </c>
      <c r="I46" s="10" t="s">
        <v>127</v>
      </c>
      <c r="J46" s="10" t="s">
        <v>488</v>
      </c>
      <c r="K46" s="10" t="s">
        <v>489</v>
      </c>
      <c r="L46" s="12" t="s">
        <v>490</v>
      </c>
      <c r="M46" s="12" t="s">
        <v>491</v>
      </c>
      <c r="N46" s="12" t="s">
        <v>492</v>
      </c>
      <c r="O46" s="12" t="s">
        <v>493</v>
      </c>
      <c r="Q46" s="8"/>
    </row>
    <row r="47" ht="22.5" customHeight="1">
      <c r="A47" s="9">
        <v>45884.40559768518</v>
      </c>
      <c r="B47" s="10" t="s">
        <v>494</v>
      </c>
      <c r="C47" s="11" t="s">
        <v>495</v>
      </c>
      <c r="D47" s="10" t="s">
        <v>496</v>
      </c>
      <c r="E47" s="11" t="s">
        <v>497</v>
      </c>
      <c r="F47" s="10" t="s">
        <v>498</v>
      </c>
      <c r="G47" s="10" t="s">
        <v>499</v>
      </c>
      <c r="H47" s="10" t="s">
        <v>22</v>
      </c>
      <c r="I47" s="10" t="s">
        <v>23</v>
      </c>
      <c r="J47" s="10" t="s">
        <v>64</v>
      </c>
      <c r="K47" s="10" t="s">
        <v>500</v>
      </c>
      <c r="M47" s="12" t="s">
        <v>501</v>
      </c>
      <c r="N47" s="12" t="s">
        <v>502</v>
      </c>
      <c r="O47" s="12" t="s">
        <v>503</v>
      </c>
      <c r="Q47" s="8"/>
    </row>
    <row r="48" ht="22.5" customHeight="1">
      <c r="A48" s="9">
        <v>45890.54299873843</v>
      </c>
      <c r="B48" s="10" t="s">
        <v>504</v>
      </c>
      <c r="C48" s="11" t="s">
        <v>505</v>
      </c>
      <c r="D48" s="10" t="s">
        <v>506</v>
      </c>
      <c r="E48" s="11" t="s">
        <v>507</v>
      </c>
      <c r="F48" s="10" t="s">
        <v>508</v>
      </c>
      <c r="G48" s="10" t="s">
        <v>508</v>
      </c>
      <c r="H48" s="10" t="s">
        <v>22</v>
      </c>
      <c r="I48" s="10" t="s">
        <v>115</v>
      </c>
      <c r="J48" s="10" t="s">
        <v>104</v>
      </c>
      <c r="K48" s="10" t="s">
        <v>509</v>
      </c>
      <c r="L48" s="12" t="s">
        <v>510</v>
      </c>
      <c r="M48" s="12" t="s">
        <v>511</v>
      </c>
      <c r="N48" s="12" t="s">
        <v>512</v>
      </c>
      <c r="O48" s="12" t="s">
        <v>513</v>
      </c>
      <c r="Q48" s="8"/>
    </row>
    <row r="49" ht="22.5" customHeight="1">
      <c r="A49" s="9">
        <v>45892.506940011575</v>
      </c>
      <c r="B49" s="10" t="s">
        <v>514</v>
      </c>
      <c r="C49" s="11" t="s">
        <v>515</v>
      </c>
      <c r="D49" s="10" t="s">
        <v>516</v>
      </c>
      <c r="E49" s="11" t="s">
        <v>517</v>
      </c>
      <c r="F49" s="10" t="s">
        <v>518</v>
      </c>
      <c r="G49" s="10" t="s">
        <v>518</v>
      </c>
      <c r="H49" s="10" t="s">
        <v>52</v>
      </c>
      <c r="I49" s="10" t="s">
        <v>23</v>
      </c>
      <c r="J49" s="10" t="s">
        <v>519</v>
      </c>
      <c r="K49" s="10" t="s">
        <v>520</v>
      </c>
      <c r="L49" s="12" t="s">
        <v>521</v>
      </c>
      <c r="M49" s="12" t="s">
        <v>522</v>
      </c>
      <c r="N49" s="12" t="s">
        <v>523</v>
      </c>
      <c r="O49" s="12" t="s">
        <v>524</v>
      </c>
      <c r="Q49" s="8"/>
    </row>
    <row r="50" ht="22.5" customHeight="1">
      <c r="A50" s="9">
        <v>45898.80027709491</v>
      </c>
      <c r="B50" s="10" t="s">
        <v>525</v>
      </c>
      <c r="C50" s="11" t="s">
        <v>526</v>
      </c>
      <c r="D50" s="10" t="s">
        <v>527</v>
      </c>
      <c r="E50" s="10" t="s">
        <v>527</v>
      </c>
      <c r="F50" s="16" t="s">
        <v>528</v>
      </c>
      <c r="G50" s="10" t="s">
        <v>528</v>
      </c>
      <c r="H50" s="10" t="s">
        <v>52</v>
      </c>
      <c r="I50" s="10" t="s">
        <v>23</v>
      </c>
      <c r="J50" s="10" t="s">
        <v>529</v>
      </c>
      <c r="K50" s="10" t="s">
        <v>530</v>
      </c>
      <c r="L50" s="12" t="s">
        <v>531</v>
      </c>
      <c r="M50" s="12" t="s">
        <v>532</v>
      </c>
      <c r="N50" s="12" t="s">
        <v>533</v>
      </c>
      <c r="O50" s="12" t="s">
        <v>534</v>
      </c>
      <c r="Q50" s="8"/>
    </row>
    <row r="51" ht="22.5" customHeight="1">
      <c r="A51" s="9">
        <v>45899.33675795139</v>
      </c>
      <c r="B51" s="10" t="s">
        <v>535</v>
      </c>
      <c r="C51" s="11" t="s">
        <v>536</v>
      </c>
      <c r="D51" s="10" t="s">
        <v>537</v>
      </c>
      <c r="E51" s="11" t="s">
        <v>538</v>
      </c>
      <c r="F51" s="10" t="s">
        <v>539</v>
      </c>
      <c r="G51" s="10" t="s">
        <v>540</v>
      </c>
      <c r="H51" s="10" t="s">
        <v>22</v>
      </c>
      <c r="I51" s="10" t="s">
        <v>23</v>
      </c>
      <c r="J51" s="10" t="s">
        <v>31</v>
      </c>
      <c r="K51" s="10" t="s">
        <v>541</v>
      </c>
      <c r="M51" s="12" t="s">
        <v>542</v>
      </c>
      <c r="N51" s="12" t="s">
        <v>543</v>
      </c>
      <c r="O51" s="12" t="s">
        <v>544</v>
      </c>
      <c r="Q51" s="8"/>
    </row>
    <row r="52" ht="22.5" customHeight="1">
      <c r="A52" s="9">
        <v>45899.9492862037</v>
      </c>
      <c r="B52" s="10" t="s">
        <v>545</v>
      </c>
      <c r="C52" s="11" t="s">
        <v>546</v>
      </c>
      <c r="D52" s="10" t="s">
        <v>547</v>
      </c>
      <c r="E52" s="11" t="s">
        <v>548</v>
      </c>
      <c r="F52" s="10" t="s">
        <v>549</v>
      </c>
      <c r="G52" s="10" t="s">
        <v>549</v>
      </c>
      <c r="H52" s="10" t="s">
        <v>22</v>
      </c>
      <c r="I52" s="10" t="s">
        <v>127</v>
      </c>
      <c r="J52" s="10" t="s">
        <v>24</v>
      </c>
      <c r="K52" s="10" t="s">
        <v>550</v>
      </c>
      <c r="M52" s="12" t="s">
        <v>551</v>
      </c>
      <c r="N52" s="12" t="s">
        <v>552</v>
      </c>
      <c r="O52" s="12" t="s">
        <v>553</v>
      </c>
      <c r="Q52" s="8"/>
    </row>
    <row r="53" ht="22.5" customHeight="1">
      <c r="A53" s="9">
        <v>45900.410414467595</v>
      </c>
      <c r="B53" s="10" t="s">
        <v>554</v>
      </c>
      <c r="C53" s="11" t="s">
        <v>555</v>
      </c>
      <c r="D53" s="10" t="s">
        <v>556</v>
      </c>
      <c r="E53" s="11" t="s">
        <v>557</v>
      </c>
      <c r="F53" s="10" t="s">
        <v>558</v>
      </c>
      <c r="G53" s="10" t="s">
        <v>559</v>
      </c>
      <c r="H53" s="10" t="s">
        <v>22</v>
      </c>
      <c r="I53" s="10" t="s">
        <v>23</v>
      </c>
      <c r="J53" s="10" t="s">
        <v>64</v>
      </c>
      <c r="K53" s="10" t="s">
        <v>560</v>
      </c>
      <c r="L53" s="12" t="s">
        <v>561</v>
      </c>
      <c r="M53" s="12" t="s">
        <v>562</v>
      </c>
      <c r="N53" s="12" t="s">
        <v>563</v>
      </c>
      <c r="O53" s="12" t="s">
        <v>564</v>
      </c>
      <c r="Q53" s="8"/>
    </row>
    <row r="54" ht="22.5" customHeight="1">
      <c r="A54" s="9">
        <v>45901.443574930556</v>
      </c>
      <c r="B54" s="10" t="s">
        <v>565</v>
      </c>
      <c r="C54" s="11" t="s">
        <v>566</v>
      </c>
      <c r="D54" s="10" t="s">
        <v>567</v>
      </c>
      <c r="E54" s="10" t="s">
        <v>568</v>
      </c>
      <c r="F54" s="10" t="s">
        <v>569</v>
      </c>
      <c r="G54" s="10" t="s">
        <v>569</v>
      </c>
      <c r="H54" s="10" t="s">
        <v>52</v>
      </c>
      <c r="I54" s="10" t="s">
        <v>115</v>
      </c>
      <c r="J54" s="10" t="s">
        <v>570</v>
      </c>
      <c r="K54" s="10" t="s">
        <v>571</v>
      </c>
      <c r="L54" s="12" t="s">
        <v>572</v>
      </c>
      <c r="M54" s="12" t="s">
        <v>573</v>
      </c>
      <c r="N54" s="12" t="s">
        <v>574</v>
      </c>
      <c r="O54" s="12" t="s">
        <v>575</v>
      </c>
      <c r="Q54" s="8"/>
    </row>
    <row r="55" ht="22.5" customHeight="1">
      <c r="A55" s="9">
        <v>45902.32340702546</v>
      </c>
      <c r="B55" s="10" t="s">
        <v>576</v>
      </c>
      <c r="C55" s="11" t="s">
        <v>577</v>
      </c>
      <c r="D55" s="10" t="s">
        <v>578</v>
      </c>
      <c r="E55" s="10" t="s">
        <v>579</v>
      </c>
      <c r="F55" s="10" t="s">
        <v>580</v>
      </c>
      <c r="G55" s="10" t="s">
        <v>580</v>
      </c>
      <c r="H55" s="10" t="s">
        <v>22</v>
      </c>
      <c r="I55" s="10" t="s">
        <v>23</v>
      </c>
      <c r="J55" s="10" t="s">
        <v>281</v>
      </c>
      <c r="K55" s="10" t="s">
        <v>581</v>
      </c>
      <c r="L55" s="12" t="s">
        <v>582</v>
      </c>
      <c r="M55" s="12" t="s">
        <v>583</v>
      </c>
      <c r="N55" s="12" t="s">
        <v>584</v>
      </c>
      <c r="O55" s="12" t="s">
        <v>585</v>
      </c>
      <c r="Q55" s="8"/>
    </row>
    <row r="56" ht="22.5" customHeight="1">
      <c r="A56" s="9">
        <v>45903.35307053241</v>
      </c>
      <c r="B56" s="10" t="s">
        <v>586</v>
      </c>
      <c r="C56" s="11" t="s">
        <v>587</v>
      </c>
      <c r="D56" s="10" t="s">
        <v>588</v>
      </c>
      <c r="E56" s="11" t="s">
        <v>589</v>
      </c>
      <c r="F56" s="10" t="s">
        <v>590</v>
      </c>
      <c r="G56" s="10" t="s">
        <v>591</v>
      </c>
      <c r="H56" s="10" t="s">
        <v>52</v>
      </c>
      <c r="I56" s="10" t="s">
        <v>115</v>
      </c>
      <c r="J56" s="10" t="s">
        <v>238</v>
      </c>
      <c r="K56" s="10" t="s">
        <v>592</v>
      </c>
      <c r="L56" s="12" t="s">
        <v>593</v>
      </c>
      <c r="M56" s="12" t="s">
        <v>594</v>
      </c>
      <c r="N56" s="12" t="s">
        <v>595</v>
      </c>
      <c r="O56" s="12" t="s">
        <v>596</v>
      </c>
      <c r="Q56" s="8"/>
    </row>
    <row r="57" ht="22.5" customHeight="1">
      <c r="A57" s="9">
        <v>45903.378223946755</v>
      </c>
      <c r="B57" s="10" t="s">
        <v>597</v>
      </c>
      <c r="C57" s="11" t="s">
        <v>598</v>
      </c>
      <c r="D57" s="10" t="s">
        <v>599</v>
      </c>
      <c r="E57" s="11" t="s">
        <v>600</v>
      </c>
      <c r="F57" s="10" t="s">
        <v>601</v>
      </c>
      <c r="G57" s="10" t="s">
        <v>602</v>
      </c>
      <c r="H57" s="10" t="s">
        <v>52</v>
      </c>
      <c r="I57" s="10" t="s">
        <v>23</v>
      </c>
      <c r="J57" s="10" t="s">
        <v>488</v>
      </c>
      <c r="K57" s="10" t="s">
        <v>603</v>
      </c>
      <c r="L57" s="12" t="s">
        <v>604</v>
      </c>
      <c r="M57" s="12" t="s">
        <v>605</v>
      </c>
      <c r="N57" s="12" t="s">
        <v>606</v>
      </c>
      <c r="O57" s="12" t="s">
        <v>607</v>
      </c>
      <c r="Q57" s="8"/>
    </row>
    <row r="58" ht="22.5" customHeight="1">
      <c r="A58" s="9">
        <v>45905.449041608794</v>
      </c>
      <c r="B58" s="10" t="s">
        <v>608</v>
      </c>
      <c r="C58" s="11" t="s">
        <v>609</v>
      </c>
      <c r="D58" s="10" t="s">
        <v>610</v>
      </c>
      <c r="E58" s="11" t="s">
        <v>611</v>
      </c>
      <c r="F58" s="10" t="s">
        <v>612</v>
      </c>
      <c r="G58" s="10" t="s">
        <v>612</v>
      </c>
      <c r="H58" s="10" t="s">
        <v>22</v>
      </c>
      <c r="I58" s="10" t="s">
        <v>23</v>
      </c>
      <c r="J58" s="10" t="s">
        <v>613</v>
      </c>
      <c r="K58" s="10" t="s">
        <v>614</v>
      </c>
      <c r="L58" s="12" t="s">
        <v>615</v>
      </c>
      <c r="M58" s="12" t="s">
        <v>616</v>
      </c>
      <c r="N58" s="12" t="s">
        <v>617</v>
      </c>
      <c r="O58" s="12" t="s">
        <v>618</v>
      </c>
      <c r="Q58" s="8"/>
    </row>
    <row r="59" ht="22.5" customHeight="1">
      <c r="A59" s="9">
        <v>45906.618603483796</v>
      </c>
      <c r="B59" s="10" t="s">
        <v>619</v>
      </c>
      <c r="C59" s="11" t="s">
        <v>620</v>
      </c>
      <c r="D59" s="10" t="s">
        <v>621</v>
      </c>
      <c r="E59" s="11" t="s">
        <v>622</v>
      </c>
      <c r="F59" s="10" t="s">
        <v>623</v>
      </c>
      <c r="G59" s="10" t="s">
        <v>624</v>
      </c>
      <c r="H59" s="10" t="s">
        <v>22</v>
      </c>
      <c r="I59" s="10" t="s">
        <v>23</v>
      </c>
      <c r="J59" s="10" t="s">
        <v>625</v>
      </c>
      <c r="K59" s="10" t="s">
        <v>626</v>
      </c>
      <c r="M59" s="12" t="s">
        <v>627</v>
      </c>
      <c r="N59" s="12" t="s">
        <v>628</v>
      </c>
      <c r="O59" s="12" t="s">
        <v>629</v>
      </c>
      <c r="Q59" s="8"/>
    </row>
    <row r="60" ht="22.5" customHeight="1">
      <c r="A60" s="9">
        <v>45912.365863900464</v>
      </c>
      <c r="B60" s="10" t="s">
        <v>630</v>
      </c>
      <c r="C60" s="11" t="s">
        <v>631</v>
      </c>
      <c r="D60" s="10" t="s">
        <v>632</v>
      </c>
      <c r="E60" s="11" t="s">
        <v>633</v>
      </c>
      <c r="F60" s="10" t="s">
        <v>634</v>
      </c>
      <c r="G60" s="10" t="s">
        <v>635</v>
      </c>
      <c r="H60" s="10" t="s">
        <v>22</v>
      </c>
      <c r="I60" s="10" t="s">
        <v>23</v>
      </c>
      <c r="J60" s="10" t="s">
        <v>636</v>
      </c>
      <c r="K60" s="10" t="s">
        <v>637</v>
      </c>
      <c r="M60" s="12" t="s">
        <v>638</v>
      </c>
      <c r="N60" s="12" t="s">
        <v>639</v>
      </c>
      <c r="O60" s="12" t="s">
        <v>640</v>
      </c>
      <c r="Q60" s="8"/>
    </row>
    <row r="61" ht="22.5" customHeight="1">
      <c r="A61" s="9">
        <v>45914.734799212965</v>
      </c>
      <c r="B61" s="10" t="s">
        <v>641</v>
      </c>
      <c r="C61" s="11" t="s">
        <v>642</v>
      </c>
      <c r="D61" s="10" t="s">
        <v>643</v>
      </c>
      <c r="E61" s="11" t="s">
        <v>644</v>
      </c>
      <c r="F61" s="10" t="s">
        <v>645</v>
      </c>
      <c r="G61" s="10" t="s">
        <v>646</v>
      </c>
      <c r="H61" s="10" t="s">
        <v>22</v>
      </c>
      <c r="I61" s="10" t="s">
        <v>23</v>
      </c>
      <c r="J61" s="10" t="s">
        <v>647</v>
      </c>
      <c r="K61" s="10" t="s">
        <v>648</v>
      </c>
      <c r="L61" s="12" t="s">
        <v>649</v>
      </c>
      <c r="M61" s="12" t="s">
        <v>650</v>
      </c>
      <c r="N61" s="12" t="s">
        <v>651</v>
      </c>
      <c r="O61" s="12" t="s">
        <v>652</v>
      </c>
      <c r="Q61" s="8"/>
    </row>
    <row r="62" ht="22.5" customHeight="1">
      <c r="A62" s="9">
        <v>45916.30225637731</v>
      </c>
      <c r="B62" s="10" t="s">
        <v>653</v>
      </c>
      <c r="C62" s="11" t="s">
        <v>654</v>
      </c>
      <c r="D62" s="10" t="s">
        <v>655</v>
      </c>
      <c r="E62" s="11" t="s">
        <v>656</v>
      </c>
      <c r="F62" s="10" t="s">
        <v>657</v>
      </c>
      <c r="G62" s="10" t="s">
        <v>657</v>
      </c>
      <c r="H62" s="10" t="s">
        <v>22</v>
      </c>
      <c r="I62" s="10" t="s">
        <v>23</v>
      </c>
      <c r="J62" s="10" t="s">
        <v>658</v>
      </c>
      <c r="K62" s="10" t="s">
        <v>659</v>
      </c>
      <c r="L62" s="12" t="s">
        <v>660</v>
      </c>
      <c r="M62" s="12" t="s">
        <v>661</v>
      </c>
      <c r="N62" s="12" t="s">
        <v>662</v>
      </c>
      <c r="O62" s="12" t="s">
        <v>663</v>
      </c>
      <c r="Q62" s="8"/>
    </row>
    <row r="63" ht="22.5" customHeight="1">
      <c r="A63" s="9">
        <v>45916.722994745374</v>
      </c>
      <c r="B63" s="10" t="s">
        <v>664</v>
      </c>
      <c r="C63" s="11" t="s">
        <v>577</v>
      </c>
      <c r="D63" s="10" t="s">
        <v>665</v>
      </c>
      <c r="E63" s="10" t="s">
        <v>579</v>
      </c>
      <c r="F63" s="10" t="s">
        <v>666</v>
      </c>
      <c r="G63" s="10" t="s">
        <v>666</v>
      </c>
      <c r="H63" s="10" t="s">
        <v>22</v>
      </c>
      <c r="I63" s="10" t="s">
        <v>23</v>
      </c>
      <c r="J63" s="10" t="s">
        <v>304</v>
      </c>
      <c r="K63" s="10" t="s">
        <v>581</v>
      </c>
      <c r="L63" s="12" t="s">
        <v>667</v>
      </c>
      <c r="M63" s="12" t="s">
        <v>668</v>
      </c>
      <c r="N63" s="12" t="s">
        <v>669</v>
      </c>
      <c r="O63" s="12" t="s">
        <v>670</v>
      </c>
      <c r="Q63" s="8"/>
    </row>
    <row r="64" ht="22.5" customHeight="1">
      <c r="A64" s="9">
        <v>45917.40764340278</v>
      </c>
      <c r="B64" s="10" t="s">
        <v>671</v>
      </c>
      <c r="C64" s="11" t="s">
        <v>672</v>
      </c>
      <c r="D64" s="10" t="s">
        <v>673</v>
      </c>
      <c r="E64" s="10">
        <v>6.282151025324E12</v>
      </c>
      <c r="F64" s="10" t="s">
        <v>674</v>
      </c>
      <c r="G64" s="10" t="s">
        <v>675</v>
      </c>
      <c r="H64" s="10" t="s">
        <v>22</v>
      </c>
      <c r="I64" s="10" t="s">
        <v>23</v>
      </c>
      <c r="J64" s="10" t="s">
        <v>64</v>
      </c>
      <c r="K64" s="10" t="s">
        <v>676</v>
      </c>
      <c r="L64" s="12" t="s">
        <v>677</v>
      </c>
      <c r="M64" s="12" t="s">
        <v>678</v>
      </c>
      <c r="N64" s="12" t="s">
        <v>679</v>
      </c>
      <c r="O64" s="12" t="s">
        <v>680</v>
      </c>
      <c r="Q64" s="8"/>
    </row>
    <row r="65" ht="22.5" customHeight="1">
      <c r="A65" s="9">
        <v>45918.34240822917</v>
      </c>
      <c r="B65" s="10" t="s">
        <v>681</v>
      </c>
      <c r="C65" s="11" t="s">
        <v>682</v>
      </c>
      <c r="D65" s="10" t="s">
        <v>683</v>
      </c>
      <c r="E65" s="11" t="s">
        <v>684</v>
      </c>
      <c r="F65" s="10" t="s">
        <v>685</v>
      </c>
      <c r="G65" s="10" t="s">
        <v>685</v>
      </c>
      <c r="H65" s="10" t="s">
        <v>22</v>
      </c>
      <c r="I65" s="10" t="s">
        <v>23</v>
      </c>
      <c r="J65" s="10" t="s">
        <v>686</v>
      </c>
      <c r="K65" s="10" t="s">
        <v>687</v>
      </c>
      <c r="M65" s="12" t="s">
        <v>688</v>
      </c>
      <c r="N65" s="12" t="s">
        <v>689</v>
      </c>
      <c r="O65" s="12" t="s">
        <v>690</v>
      </c>
      <c r="Q65" s="8"/>
    </row>
    <row r="66" ht="22.5" customHeight="1">
      <c r="A66" s="9">
        <v>45919.50362199074</v>
      </c>
      <c r="B66" s="10" t="s">
        <v>691</v>
      </c>
      <c r="C66" s="11" t="s">
        <v>692</v>
      </c>
      <c r="D66" s="10" t="s">
        <v>693</v>
      </c>
      <c r="E66" s="11" t="s">
        <v>694</v>
      </c>
      <c r="F66" s="10" t="s">
        <v>695</v>
      </c>
      <c r="G66" s="10" t="s">
        <v>696</v>
      </c>
      <c r="H66" s="10" t="s">
        <v>22</v>
      </c>
      <c r="I66" s="10" t="s">
        <v>23</v>
      </c>
      <c r="J66" s="10" t="s">
        <v>139</v>
      </c>
      <c r="K66" s="10" t="s">
        <v>697</v>
      </c>
      <c r="L66" s="12" t="s">
        <v>698</v>
      </c>
      <c r="M66" s="12" t="s">
        <v>699</v>
      </c>
      <c r="N66" s="12" t="s">
        <v>700</v>
      </c>
      <c r="O66" s="12" t="s">
        <v>701</v>
      </c>
      <c r="Q66" s="8"/>
    </row>
    <row r="67" ht="22.5" customHeight="1">
      <c r="A67" s="9">
        <v>45919.507579247685</v>
      </c>
      <c r="B67" s="10" t="s">
        <v>691</v>
      </c>
      <c r="C67" s="11" t="s">
        <v>692</v>
      </c>
      <c r="D67" s="10" t="s">
        <v>693</v>
      </c>
      <c r="E67" s="11" t="s">
        <v>694</v>
      </c>
      <c r="F67" s="10" t="s">
        <v>702</v>
      </c>
      <c r="G67" s="10" t="s">
        <v>703</v>
      </c>
      <c r="H67" s="10" t="s">
        <v>22</v>
      </c>
      <c r="I67" s="10" t="s">
        <v>23</v>
      </c>
      <c r="J67" s="10" t="s">
        <v>704</v>
      </c>
      <c r="K67" s="10" t="s">
        <v>697</v>
      </c>
      <c r="L67" s="12" t="s">
        <v>705</v>
      </c>
      <c r="M67" s="12" t="s">
        <v>706</v>
      </c>
      <c r="N67" s="12" t="s">
        <v>707</v>
      </c>
      <c r="O67" s="12" t="s">
        <v>708</v>
      </c>
      <c r="Q67" s="8"/>
    </row>
    <row r="68" ht="22.5" customHeight="1">
      <c r="A68" s="9">
        <v>45919.74398059028</v>
      </c>
      <c r="B68" s="10" t="s">
        <v>709</v>
      </c>
      <c r="C68" s="11" t="s">
        <v>710</v>
      </c>
      <c r="D68" s="10" t="s">
        <v>711</v>
      </c>
      <c r="E68" s="11" t="s">
        <v>712</v>
      </c>
      <c r="F68" s="10" t="s">
        <v>713</v>
      </c>
      <c r="G68" s="10" t="s">
        <v>713</v>
      </c>
      <c r="H68" s="10" t="s">
        <v>22</v>
      </c>
      <c r="I68" s="10" t="s">
        <v>23</v>
      </c>
      <c r="J68" s="10" t="s">
        <v>714</v>
      </c>
      <c r="K68" s="10" t="s">
        <v>715</v>
      </c>
      <c r="L68" s="12" t="s">
        <v>716</v>
      </c>
      <c r="M68" s="12" t="s">
        <v>717</v>
      </c>
      <c r="N68" s="12" t="s">
        <v>718</v>
      </c>
      <c r="O68" s="12" t="s">
        <v>719</v>
      </c>
      <c r="Q68" s="8"/>
    </row>
    <row r="69" ht="22.5" customHeight="1">
      <c r="A69" s="9">
        <v>45920.44369226852</v>
      </c>
      <c r="B69" s="10" t="s">
        <v>720</v>
      </c>
      <c r="C69" s="11" t="s">
        <v>631</v>
      </c>
      <c r="D69" s="10" t="s">
        <v>632</v>
      </c>
      <c r="E69" s="11" t="s">
        <v>631</v>
      </c>
      <c r="F69" s="10" t="s">
        <v>721</v>
      </c>
      <c r="G69" s="10" t="s">
        <v>721</v>
      </c>
      <c r="H69" s="10" t="s">
        <v>22</v>
      </c>
      <c r="I69" s="10" t="s">
        <v>23</v>
      </c>
      <c r="J69" s="10" t="s">
        <v>31</v>
      </c>
      <c r="K69" s="10" t="s">
        <v>637</v>
      </c>
      <c r="M69" s="12" t="s">
        <v>722</v>
      </c>
      <c r="N69" s="12" t="s">
        <v>723</v>
      </c>
      <c r="O69" s="12" t="s">
        <v>724</v>
      </c>
      <c r="Q69" s="8"/>
    </row>
    <row r="70" ht="22.5" customHeight="1">
      <c r="A70" s="9">
        <v>45925.522328900464</v>
      </c>
      <c r="B70" s="10" t="s">
        <v>725</v>
      </c>
      <c r="C70" s="11" t="s">
        <v>726</v>
      </c>
      <c r="D70" s="10" t="s">
        <v>727</v>
      </c>
      <c r="E70" s="11" t="s">
        <v>728</v>
      </c>
      <c r="F70" s="10" t="s">
        <v>729</v>
      </c>
      <c r="G70" s="10" t="s">
        <v>729</v>
      </c>
      <c r="H70" s="10" t="s">
        <v>52</v>
      </c>
      <c r="I70" s="10" t="s">
        <v>23</v>
      </c>
      <c r="J70" s="10" t="s">
        <v>104</v>
      </c>
      <c r="K70" s="10" t="s">
        <v>730</v>
      </c>
      <c r="M70" s="12" t="s">
        <v>731</v>
      </c>
      <c r="N70" s="12" t="s">
        <v>732</v>
      </c>
      <c r="O70" s="12" t="s">
        <v>733</v>
      </c>
      <c r="Q70" s="8"/>
    </row>
    <row r="71" ht="22.5" customHeight="1">
      <c r="A71" s="9">
        <v>45925.62774390046</v>
      </c>
      <c r="B71" s="10" t="s">
        <v>734</v>
      </c>
      <c r="C71" s="11" t="s">
        <v>735</v>
      </c>
      <c r="D71" s="10" t="s">
        <v>736</v>
      </c>
      <c r="E71" s="11" t="s">
        <v>737</v>
      </c>
      <c r="F71" s="10" t="s">
        <v>738</v>
      </c>
      <c r="G71" s="10" t="s">
        <v>738</v>
      </c>
      <c r="H71" s="10" t="s">
        <v>52</v>
      </c>
      <c r="I71" s="10" t="s">
        <v>115</v>
      </c>
      <c r="J71" s="10" t="s">
        <v>401</v>
      </c>
      <c r="K71" s="10" t="s">
        <v>739</v>
      </c>
      <c r="L71" s="12" t="s">
        <v>740</v>
      </c>
      <c r="M71" s="12" t="s">
        <v>741</v>
      </c>
      <c r="N71" s="12" t="s">
        <v>742</v>
      </c>
      <c r="O71" s="12" t="s">
        <v>743</v>
      </c>
      <c r="Q71" s="8"/>
    </row>
    <row r="72" ht="22.5" customHeight="1">
      <c r="A72" s="9">
        <v>45925.66817708334</v>
      </c>
      <c r="B72" s="10" t="s">
        <v>276</v>
      </c>
      <c r="C72" s="11" t="s">
        <v>277</v>
      </c>
      <c r="D72" s="10" t="s">
        <v>278</v>
      </c>
      <c r="E72" s="11" t="s">
        <v>279</v>
      </c>
      <c r="F72" s="10" t="s">
        <v>280</v>
      </c>
      <c r="G72" s="10" t="s">
        <v>280</v>
      </c>
      <c r="H72" s="10" t="s">
        <v>22</v>
      </c>
      <c r="I72" s="10" t="s">
        <v>23</v>
      </c>
      <c r="J72" s="10" t="s">
        <v>744</v>
      </c>
      <c r="K72" s="10" t="s">
        <v>282</v>
      </c>
      <c r="L72" s="12" t="s">
        <v>745</v>
      </c>
      <c r="M72" s="12" t="s">
        <v>746</v>
      </c>
      <c r="N72" s="12" t="s">
        <v>747</v>
      </c>
      <c r="O72" s="12" t="s">
        <v>748</v>
      </c>
      <c r="Q72" s="8"/>
    </row>
    <row r="73" ht="22.5" customHeight="1">
      <c r="A73" s="9">
        <v>45926.39436733796</v>
      </c>
      <c r="B73" s="10" t="s">
        <v>749</v>
      </c>
      <c r="C73" s="10">
        <v>6.281808517878E12</v>
      </c>
      <c r="D73" s="10" t="s">
        <v>750</v>
      </c>
      <c r="E73" s="10">
        <v>6.287838810113E12</v>
      </c>
      <c r="F73" s="10" t="s">
        <v>751</v>
      </c>
      <c r="G73" s="10" t="s">
        <v>751</v>
      </c>
      <c r="H73" s="10" t="s">
        <v>22</v>
      </c>
      <c r="I73" s="10" t="s">
        <v>115</v>
      </c>
      <c r="J73" s="10" t="s">
        <v>752</v>
      </c>
      <c r="K73" s="10" t="s">
        <v>753</v>
      </c>
      <c r="L73" s="12" t="s">
        <v>754</v>
      </c>
      <c r="M73" s="12" t="s">
        <v>755</v>
      </c>
      <c r="N73" s="12" t="s">
        <v>756</v>
      </c>
      <c r="O73" s="12" t="s">
        <v>757</v>
      </c>
      <c r="Q73" s="8"/>
    </row>
    <row r="74" ht="22.5" customHeight="1">
      <c r="A74" s="9">
        <v>45926.54660886574</v>
      </c>
      <c r="B74" s="10" t="s">
        <v>758</v>
      </c>
      <c r="C74" s="11" t="s">
        <v>759</v>
      </c>
      <c r="D74" s="10" t="s">
        <v>760</v>
      </c>
      <c r="E74" s="11" t="s">
        <v>761</v>
      </c>
      <c r="F74" s="10" t="s">
        <v>762</v>
      </c>
      <c r="G74" s="10" t="s">
        <v>762</v>
      </c>
      <c r="H74" s="10" t="s">
        <v>52</v>
      </c>
      <c r="I74" s="10" t="s">
        <v>23</v>
      </c>
      <c r="J74" s="10" t="s">
        <v>763</v>
      </c>
      <c r="K74" s="10" t="s">
        <v>764</v>
      </c>
      <c r="L74" s="12" t="s">
        <v>765</v>
      </c>
      <c r="M74" s="12" t="s">
        <v>766</v>
      </c>
      <c r="N74" s="12" t="s">
        <v>767</v>
      </c>
      <c r="O74" s="12" t="s">
        <v>768</v>
      </c>
      <c r="Q74" s="8"/>
    </row>
    <row r="75" ht="22.5" customHeight="1">
      <c r="A75" s="9">
        <v>45927.428662499995</v>
      </c>
      <c r="B75" s="10" t="s">
        <v>769</v>
      </c>
      <c r="C75" s="11" t="s">
        <v>770</v>
      </c>
      <c r="D75" s="10" t="s">
        <v>771</v>
      </c>
      <c r="E75" s="11" t="s">
        <v>772</v>
      </c>
      <c r="F75" s="10" t="s">
        <v>773</v>
      </c>
      <c r="G75" s="10" t="s">
        <v>773</v>
      </c>
      <c r="H75" s="10" t="s">
        <v>22</v>
      </c>
      <c r="I75" s="10" t="s">
        <v>115</v>
      </c>
      <c r="J75" s="10" t="s">
        <v>774</v>
      </c>
      <c r="K75" s="10" t="s">
        <v>775</v>
      </c>
      <c r="L75" s="12" t="s">
        <v>776</v>
      </c>
      <c r="M75" s="12" t="s">
        <v>777</v>
      </c>
      <c r="N75" s="12" t="s">
        <v>778</v>
      </c>
      <c r="O75" s="12" t="s">
        <v>779</v>
      </c>
      <c r="Q75" s="8"/>
    </row>
    <row r="76" ht="22.5" customHeight="1">
      <c r="A76" s="9">
        <v>45928.43755828704</v>
      </c>
      <c r="B76" s="10" t="s">
        <v>780</v>
      </c>
      <c r="C76" s="11" t="s">
        <v>781</v>
      </c>
      <c r="D76" s="10" t="s">
        <v>782</v>
      </c>
      <c r="E76" s="10" t="s">
        <v>783</v>
      </c>
      <c r="F76" s="10" t="s">
        <v>784</v>
      </c>
      <c r="G76" s="10" t="s">
        <v>785</v>
      </c>
      <c r="H76" s="10" t="s">
        <v>52</v>
      </c>
      <c r="I76" s="10" t="s">
        <v>23</v>
      </c>
      <c r="J76" s="10" t="s">
        <v>205</v>
      </c>
      <c r="K76" s="10" t="s">
        <v>786</v>
      </c>
      <c r="M76" s="12" t="s">
        <v>787</v>
      </c>
      <c r="N76" s="12" t="s">
        <v>788</v>
      </c>
      <c r="O76" s="12" t="s">
        <v>789</v>
      </c>
      <c r="Q76" s="8"/>
    </row>
    <row r="77" ht="22.5" customHeight="1">
      <c r="A77" s="9">
        <v>45930.34076295139</v>
      </c>
      <c r="B77" s="10" t="s">
        <v>471</v>
      </c>
      <c r="C77" s="11" t="s">
        <v>472</v>
      </c>
      <c r="D77" s="10" t="s">
        <v>473</v>
      </c>
      <c r="E77" s="10" t="s">
        <v>474</v>
      </c>
      <c r="F77" s="10" t="s">
        <v>790</v>
      </c>
      <c r="G77" s="10" t="s">
        <v>791</v>
      </c>
      <c r="H77" s="10" t="s">
        <v>22</v>
      </c>
      <c r="I77" s="10" t="s">
        <v>23</v>
      </c>
      <c r="J77" s="10" t="s">
        <v>792</v>
      </c>
      <c r="K77" s="10" t="s">
        <v>477</v>
      </c>
      <c r="L77" s="12" t="s">
        <v>793</v>
      </c>
      <c r="M77" s="12" t="s">
        <v>794</v>
      </c>
      <c r="N77" s="12" t="s">
        <v>795</v>
      </c>
      <c r="O77" s="12" t="s">
        <v>796</v>
      </c>
      <c r="Q77" s="8"/>
    </row>
    <row r="78" ht="22.5" customHeight="1">
      <c r="A78" s="9">
        <v>45931.309212569446</v>
      </c>
      <c r="B78" s="10" t="s">
        <v>797</v>
      </c>
      <c r="C78" s="11" t="s">
        <v>798</v>
      </c>
      <c r="D78" s="10" t="s">
        <v>799</v>
      </c>
      <c r="E78" s="10" t="s">
        <v>800</v>
      </c>
      <c r="F78" s="10" t="s">
        <v>411</v>
      </c>
      <c r="G78" s="10" t="s">
        <v>801</v>
      </c>
      <c r="H78" s="10" t="s">
        <v>22</v>
      </c>
      <c r="I78" s="10" t="s">
        <v>127</v>
      </c>
      <c r="J78" s="10" t="s">
        <v>139</v>
      </c>
      <c r="K78" s="10" t="s">
        <v>802</v>
      </c>
      <c r="L78" s="12" t="s">
        <v>803</v>
      </c>
      <c r="M78" s="12" t="s">
        <v>804</v>
      </c>
      <c r="N78" s="12" t="s">
        <v>805</v>
      </c>
      <c r="O78" s="12" t="s">
        <v>806</v>
      </c>
      <c r="Q78" s="8"/>
    </row>
    <row r="79" ht="22.5" customHeight="1">
      <c r="A79" s="9">
        <v>45931.483625243054</v>
      </c>
      <c r="B79" s="10" t="s">
        <v>807</v>
      </c>
      <c r="C79" s="11" t="s">
        <v>808</v>
      </c>
      <c r="D79" s="10" t="s">
        <v>809</v>
      </c>
      <c r="E79" s="10" t="s">
        <v>810</v>
      </c>
      <c r="F79" s="10" t="s">
        <v>811</v>
      </c>
      <c r="G79" s="10" t="s">
        <v>812</v>
      </c>
      <c r="H79" s="10" t="s">
        <v>22</v>
      </c>
      <c r="I79" s="10" t="s">
        <v>127</v>
      </c>
      <c r="J79" s="10" t="s">
        <v>104</v>
      </c>
      <c r="K79" s="10" t="s">
        <v>813</v>
      </c>
      <c r="L79" s="12" t="s">
        <v>814</v>
      </c>
      <c r="M79" s="12" t="s">
        <v>815</v>
      </c>
      <c r="N79" s="12" t="s">
        <v>816</v>
      </c>
      <c r="O79" s="12" t="s">
        <v>817</v>
      </c>
      <c r="Q79" s="8"/>
    </row>
    <row r="80" ht="22.5" customHeight="1">
      <c r="A80" s="9">
        <v>45931.78073947917</v>
      </c>
      <c r="B80" s="10" t="s">
        <v>818</v>
      </c>
      <c r="C80" s="11" t="s">
        <v>819</v>
      </c>
      <c r="D80" s="10" t="s">
        <v>820</v>
      </c>
      <c r="E80" s="10" t="s">
        <v>821</v>
      </c>
      <c r="F80" s="10" t="s">
        <v>822</v>
      </c>
      <c r="G80" s="10" t="s">
        <v>823</v>
      </c>
      <c r="H80" s="10" t="s">
        <v>22</v>
      </c>
      <c r="I80" s="10" t="s">
        <v>23</v>
      </c>
      <c r="J80" s="10" t="s">
        <v>824</v>
      </c>
      <c r="K80" s="10" t="s">
        <v>825</v>
      </c>
      <c r="M80" s="12" t="s">
        <v>826</v>
      </c>
      <c r="N80" s="12" t="s">
        <v>827</v>
      </c>
      <c r="O80" s="12" t="s">
        <v>828</v>
      </c>
      <c r="Q80" s="8"/>
    </row>
    <row r="81" ht="22.5" customHeight="1">
      <c r="A81" s="9">
        <v>45932.62940178241</v>
      </c>
      <c r="B81" s="10" t="s">
        <v>232</v>
      </c>
      <c r="C81" s="11" t="s">
        <v>233</v>
      </c>
      <c r="D81" s="10" t="s">
        <v>234</v>
      </c>
      <c r="E81" s="10" t="s">
        <v>235</v>
      </c>
      <c r="F81" s="10" t="s">
        <v>829</v>
      </c>
      <c r="G81" s="10" t="s">
        <v>830</v>
      </c>
      <c r="H81" s="10" t="s">
        <v>52</v>
      </c>
      <c r="I81" s="10" t="s">
        <v>23</v>
      </c>
      <c r="J81" s="10" t="s">
        <v>831</v>
      </c>
      <c r="K81" s="10" t="s">
        <v>832</v>
      </c>
      <c r="M81" s="12" t="s">
        <v>833</v>
      </c>
      <c r="N81" s="12" t="s">
        <v>834</v>
      </c>
      <c r="O81" s="12" t="s">
        <v>835</v>
      </c>
      <c r="Q81" s="8"/>
    </row>
    <row r="82" ht="22.5" customHeight="1">
      <c r="A82" s="9">
        <v>45935.32400299769</v>
      </c>
      <c r="B82" s="10" t="s">
        <v>836</v>
      </c>
      <c r="C82" s="11" t="s">
        <v>837</v>
      </c>
      <c r="D82" s="10" t="s">
        <v>838</v>
      </c>
      <c r="E82" s="11" t="s">
        <v>839</v>
      </c>
      <c r="F82" s="10" t="s">
        <v>840</v>
      </c>
      <c r="G82" s="10" t="s">
        <v>841</v>
      </c>
      <c r="H82" s="10" t="s">
        <v>52</v>
      </c>
      <c r="I82" s="10" t="s">
        <v>23</v>
      </c>
      <c r="J82" s="10" t="s">
        <v>304</v>
      </c>
      <c r="K82" s="10" t="s">
        <v>842</v>
      </c>
      <c r="M82" s="12" t="s">
        <v>843</v>
      </c>
      <c r="N82" s="12" t="s">
        <v>844</v>
      </c>
      <c r="O82" s="12" t="s">
        <v>845</v>
      </c>
      <c r="Q82" s="8"/>
    </row>
    <row r="83" ht="22.5" customHeight="1">
      <c r="A83" s="9">
        <v>45935.54236127315</v>
      </c>
      <c r="B83" s="10" t="s">
        <v>846</v>
      </c>
      <c r="C83" s="11" t="s">
        <v>847</v>
      </c>
      <c r="D83" s="10" t="s">
        <v>848</v>
      </c>
      <c r="E83" s="11" t="s">
        <v>849</v>
      </c>
      <c r="F83" s="10" t="s">
        <v>850</v>
      </c>
      <c r="G83" s="10" t="s">
        <v>851</v>
      </c>
      <c r="H83" s="10" t="s">
        <v>22</v>
      </c>
      <c r="I83" s="10" t="s">
        <v>115</v>
      </c>
      <c r="J83" s="10" t="s">
        <v>84</v>
      </c>
      <c r="K83" s="10" t="s">
        <v>852</v>
      </c>
      <c r="L83" s="12" t="s">
        <v>853</v>
      </c>
      <c r="M83" s="12" t="s">
        <v>854</v>
      </c>
      <c r="N83" s="12" t="s">
        <v>855</v>
      </c>
      <c r="O83" s="12" t="s">
        <v>856</v>
      </c>
      <c r="Q83" s="8"/>
    </row>
    <row r="84" ht="22.5" customHeight="1">
      <c r="A84" s="9">
        <v>45935.66149136574</v>
      </c>
      <c r="B84" s="10" t="s">
        <v>857</v>
      </c>
      <c r="C84" s="11" t="s">
        <v>858</v>
      </c>
      <c r="D84" s="10" t="s">
        <v>859</v>
      </c>
      <c r="E84" s="11" t="s">
        <v>860</v>
      </c>
      <c r="F84" s="10" t="s">
        <v>861</v>
      </c>
      <c r="G84" s="10" t="s">
        <v>862</v>
      </c>
      <c r="H84" s="10" t="s">
        <v>52</v>
      </c>
      <c r="I84" s="10" t="s">
        <v>115</v>
      </c>
      <c r="J84" s="10" t="s">
        <v>863</v>
      </c>
      <c r="K84" s="10" t="s">
        <v>864</v>
      </c>
      <c r="L84" s="12" t="s">
        <v>865</v>
      </c>
      <c r="M84" s="12" t="s">
        <v>866</v>
      </c>
      <c r="N84" s="12" t="s">
        <v>867</v>
      </c>
      <c r="O84" s="12" t="s">
        <v>868</v>
      </c>
      <c r="Q84" s="8"/>
    </row>
    <row r="85" ht="22.5" customHeight="1">
      <c r="A85" s="9">
        <v>45936.81976675926</v>
      </c>
      <c r="B85" s="10" t="s">
        <v>869</v>
      </c>
      <c r="C85" s="11" t="s">
        <v>89</v>
      </c>
      <c r="D85" s="10" t="s">
        <v>870</v>
      </c>
      <c r="E85" s="11" t="s">
        <v>91</v>
      </c>
      <c r="F85" s="10" t="s">
        <v>871</v>
      </c>
      <c r="G85" s="10" t="s">
        <v>871</v>
      </c>
      <c r="H85" s="10" t="s">
        <v>22</v>
      </c>
      <c r="I85" s="10" t="s">
        <v>23</v>
      </c>
      <c r="J85" s="10" t="s">
        <v>872</v>
      </c>
      <c r="K85" s="10" t="s">
        <v>94</v>
      </c>
      <c r="L85" s="12" t="s">
        <v>873</v>
      </c>
      <c r="M85" s="12" t="s">
        <v>874</v>
      </c>
      <c r="N85" s="12" t="s">
        <v>875</v>
      </c>
      <c r="O85" s="12" t="s">
        <v>876</v>
      </c>
      <c r="Q85" s="8"/>
    </row>
    <row r="86" ht="22.5" customHeight="1">
      <c r="A86" s="9">
        <v>45937.44026717593</v>
      </c>
      <c r="B86" s="10" t="s">
        <v>877</v>
      </c>
      <c r="C86" s="10" t="s">
        <v>878</v>
      </c>
      <c r="D86" s="10" t="s">
        <v>879</v>
      </c>
      <c r="E86" s="11" t="s">
        <v>880</v>
      </c>
      <c r="F86" s="10" t="s">
        <v>881</v>
      </c>
      <c r="G86" s="10" t="s">
        <v>882</v>
      </c>
      <c r="H86" s="10" t="s">
        <v>52</v>
      </c>
      <c r="I86" s="10" t="s">
        <v>23</v>
      </c>
      <c r="J86" s="10" t="s">
        <v>883</v>
      </c>
      <c r="K86" s="10" t="s">
        <v>884</v>
      </c>
      <c r="L86" s="12" t="s">
        <v>885</v>
      </c>
      <c r="M86" s="12" t="s">
        <v>886</v>
      </c>
      <c r="N86" s="12" t="s">
        <v>887</v>
      </c>
      <c r="O86" s="12" t="s">
        <v>888</v>
      </c>
      <c r="Q86" s="8"/>
    </row>
    <row r="87" ht="22.5" customHeight="1">
      <c r="A87" s="9">
        <v>45937.62828547454</v>
      </c>
      <c r="B87" s="10" t="s">
        <v>889</v>
      </c>
      <c r="C87" s="11" t="s">
        <v>890</v>
      </c>
      <c r="D87" s="10" t="s">
        <v>891</v>
      </c>
      <c r="E87" s="11" t="s">
        <v>892</v>
      </c>
      <c r="F87" s="10" t="s">
        <v>893</v>
      </c>
      <c r="G87" s="10" t="s">
        <v>893</v>
      </c>
      <c r="H87" s="10" t="s">
        <v>52</v>
      </c>
      <c r="I87" s="10" t="s">
        <v>115</v>
      </c>
      <c r="J87" s="10" t="s">
        <v>894</v>
      </c>
      <c r="K87" s="10" t="s">
        <v>895</v>
      </c>
      <c r="L87" s="12" t="s">
        <v>896</v>
      </c>
      <c r="M87" s="12" t="s">
        <v>897</v>
      </c>
      <c r="N87" s="12" t="s">
        <v>898</v>
      </c>
      <c r="O87" s="12" t="s">
        <v>899</v>
      </c>
      <c r="Q87" s="8"/>
    </row>
    <row r="88" ht="22.5" customHeight="1">
      <c r="A88" s="9">
        <v>45937.64612730324</v>
      </c>
      <c r="B88" s="10" t="s">
        <v>900</v>
      </c>
      <c r="C88" s="11" t="s">
        <v>901</v>
      </c>
      <c r="D88" s="10" t="s">
        <v>902</v>
      </c>
      <c r="E88" s="11" t="s">
        <v>903</v>
      </c>
      <c r="F88" s="10" t="s">
        <v>904</v>
      </c>
      <c r="G88" s="10" t="s">
        <v>905</v>
      </c>
      <c r="H88" s="10" t="s">
        <v>22</v>
      </c>
      <c r="I88" s="10" t="s">
        <v>23</v>
      </c>
      <c r="J88" s="10" t="s">
        <v>906</v>
      </c>
      <c r="K88" s="10" t="s">
        <v>907</v>
      </c>
      <c r="M88" s="12" t="s">
        <v>908</v>
      </c>
      <c r="N88" s="12" t="s">
        <v>909</v>
      </c>
      <c r="O88" s="12" t="s">
        <v>910</v>
      </c>
      <c r="Q88" s="8"/>
    </row>
    <row r="89" ht="22.5" customHeight="1">
      <c r="A89" s="9">
        <v>45940.55523520833</v>
      </c>
      <c r="B89" s="10" t="s">
        <v>911</v>
      </c>
      <c r="C89" s="11" t="s">
        <v>912</v>
      </c>
      <c r="D89" s="10" t="s">
        <v>913</v>
      </c>
      <c r="E89" s="11" t="s">
        <v>914</v>
      </c>
      <c r="F89" s="10" t="s">
        <v>915</v>
      </c>
      <c r="G89" s="10" t="s">
        <v>916</v>
      </c>
      <c r="H89" s="10" t="s">
        <v>52</v>
      </c>
      <c r="I89" s="10" t="s">
        <v>127</v>
      </c>
      <c r="J89" s="10" t="s">
        <v>917</v>
      </c>
      <c r="K89" s="10" t="s">
        <v>918</v>
      </c>
      <c r="L89" s="12" t="s">
        <v>919</v>
      </c>
      <c r="M89" s="12" t="s">
        <v>920</v>
      </c>
      <c r="N89" s="12" t="s">
        <v>921</v>
      </c>
      <c r="O89" s="12" t="s">
        <v>922</v>
      </c>
      <c r="Q89" s="8"/>
    </row>
    <row r="90" ht="22.5" customHeight="1">
      <c r="A90" s="9">
        <v>45940.649788703704</v>
      </c>
      <c r="B90" s="10" t="s">
        <v>923</v>
      </c>
      <c r="C90" s="11" t="s">
        <v>924</v>
      </c>
      <c r="D90" s="10" t="s">
        <v>925</v>
      </c>
      <c r="E90" s="11" t="s">
        <v>926</v>
      </c>
      <c r="F90" s="10" t="s">
        <v>927</v>
      </c>
      <c r="G90" s="10" t="s">
        <v>927</v>
      </c>
      <c r="H90" s="10" t="s">
        <v>52</v>
      </c>
      <c r="I90" s="10" t="s">
        <v>115</v>
      </c>
      <c r="J90" s="10" t="s">
        <v>401</v>
      </c>
      <c r="K90" s="10" t="s">
        <v>928</v>
      </c>
      <c r="L90" s="12" t="s">
        <v>929</v>
      </c>
      <c r="M90" s="12" t="s">
        <v>930</v>
      </c>
      <c r="N90" s="12" t="s">
        <v>931</v>
      </c>
      <c r="O90" s="12" t="s">
        <v>932</v>
      </c>
      <c r="Q90" s="8"/>
    </row>
    <row r="91" ht="22.5" customHeight="1">
      <c r="A91" s="9">
        <v>45943.38433796296</v>
      </c>
      <c r="B91" s="10" t="s">
        <v>653</v>
      </c>
      <c r="C91" s="11" t="s">
        <v>654</v>
      </c>
      <c r="D91" s="10" t="s">
        <v>655</v>
      </c>
      <c r="E91" s="11" t="s">
        <v>656</v>
      </c>
      <c r="F91" s="10" t="s">
        <v>657</v>
      </c>
      <c r="G91" s="10" t="s">
        <v>657</v>
      </c>
      <c r="H91" s="10" t="s">
        <v>22</v>
      </c>
      <c r="I91" s="10" t="s">
        <v>23</v>
      </c>
      <c r="J91" s="10" t="s">
        <v>763</v>
      </c>
      <c r="K91" s="10" t="s">
        <v>659</v>
      </c>
      <c r="L91" s="12" t="s">
        <v>933</v>
      </c>
      <c r="M91" s="12" t="s">
        <v>934</v>
      </c>
      <c r="N91" s="12" t="s">
        <v>935</v>
      </c>
      <c r="O91" s="12" t="s">
        <v>936</v>
      </c>
      <c r="Q91" s="8"/>
    </row>
    <row r="92" ht="22.5" customHeight="1">
      <c r="A92" s="9">
        <v>45943.73703550926</v>
      </c>
      <c r="B92" s="10" t="s">
        <v>937</v>
      </c>
      <c r="C92" s="11" t="s">
        <v>938</v>
      </c>
      <c r="D92" s="10" t="s">
        <v>939</v>
      </c>
      <c r="E92" s="11" t="s">
        <v>940</v>
      </c>
      <c r="F92" s="10" t="s">
        <v>941</v>
      </c>
      <c r="G92" s="10" t="s">
        <v>941</v>
      </c>
      <c r="H92" s="10" t="s">
        <v>52</v>
      </c>
      <c r="I92" s="10" t="s">
        <v>115</v>
      </c>
      <c r="J92" s="10" t="s">
        <v>193</v>
      </c>
      <c r="K92" s="10" t="s">
        <v>942</v>
      </c>
      <c r="L92" s="12" t="s">
        <v>943</v>
      </c>
      <c r="M92" s="12" t="s">
        <v>944</v>
      </c>
      <c r="N92" s="12" t="s">
        <v>945</v>
      </c>
      <c r="O92" s="12" t="s">
        <v>946</v>
      </c>
      <c r="Q92" s="8"/>
    </row>
    <row r="93" ht="22.5" customHeight="1">
      <c r="A93" s="9">
        <v>45943.75985096065</v>
      </c>
      <c r="B93" s="10" t="s">
        <v>947</v>
      </c>
      <c r="C93" s="11" t="s">
        <v>948</v>
      </c>
      <c r="D93" s="10" t="s">
        <v>949</v>
      </c>
      <c r="E93" s="11" t="s">
        <v>950</v>
      </c>
      <c r="F93" s="10" t="s">
        <v>951</v>
      </c>
      <c r="G93" s="10" t="s">
        <v>951</v>
      </c>
      <c r="H93" s="10" t="s">
        <v>52</v>
      </c>
      <c r="I93" s="10" t="s">
        <v>127</v>
      </c>
      <c r="J93" s="10" t="s">
        <v>952</v>
      </c>
      <c r="K93" s="10" t="s">
        <v>953</v>
      </c>
      <c r="M93" s="12" t="s">
        <v>954</v>
      </c>
      <c r="N93" s="12" t="s">
        <v>955</v>
      </c>
      <c r="O93" s="12" t="s">
        <v>956</v>
      </c>
      <c r="Q93" s="8"/>
    </row>
    <row r="94" ht="22.5" customHeight="1">
      <c r="A94" s="9">
        <v>45947.56893638889</v>
      </c>
      <c r="B94" s="10" t="s">
        <v>957</v>
      </c>
      <c r="C94" s="11" t="s">
        <v>958</v>
      </c>
      <c r="D94" s="10" t="s">
        <v>959</v>
      </c>
      <c r="E94" s="10" t="s">
        <v>960</v>
      </c>
      <c r="F94" s="10" t="s">
        <v>961</v>
      </c>
      <c r="G94" s="10" t="s">
        <v>962</v>
      </c>
      <c r="H94" s="10" t="s">
        <v>22</v>
      </c>
      <c r="I94" s="10" t="s">
        <v>115</v>
      </c>
      <c r="J94" s="10" t="s">
        <v>963</v>
      </c>
      <c r="K94" s="10" t="s">
        <v>964</v>
      </c>
      <c r="L94" s="12" t="s">
        <v>965</v>
      </c>
      <c r="M94" s="12" t="s">
        <v>966</v>
      </c>
      <c r="N94" s="12" t="s">
        <v>967</v>
      </c>
      <c r="O94" s="12" t="s">
        <v>968</v>
      </c>
      <c r="Q94" s="8"/>
    </row>
    <row r="95" ht="22.5" customHeight="1">
      <c r="A95" s="9">
        <v>45948.55514074074</v>
      </c>
      <c r="B95" s="10" t="s">
        <v>969</v>
      </c>
      <c r="C95" s="11" t="s">
        <v>970</v>
      </c>
      <c r="D95" s="10" t="s">
        <v>971</v>
      </c>
      <c r="E95" s="11" t="s">
        <v>972</v>
      </c>
      <c r="F95" s="10" t="s">
        <v>973</v>
      </c>
      <c r="G95" s="10" t="s">
        <v>973</v>
      </c>
      <c r="H95" s="10" t="s">
        <v>52</v>
      </c>
      <c r="I95" s="10" t="s">
        <v>127</v>
      </c>
      <c r="J95" s="10" t="s">
        <v>31</v>
      </c>
      <c r="K95" s="10" t="s">
        <v>974</v>
      </c>
      <c r="L95" s="12" t="s">
        <v>975</v>
      </c>
      <c r="M95" s="12" t="s">
        <v>976</v>
      </c>
      <c r="N95" s="12" t="s">
        <v>977</v>
      </c>
      <c r="O95" s="12" t="s">
        <v>978</v>
      </c>
      <c r="Q95" s="8"/>
    </row>
    <row r="96" ht="22.5" customHeight="1">
      <c r="A96" s="9">
        <v>45948.59808818287</v>
      </c>
      <c r="B96" s="10" t="s">
        <v>979</v>
      </c>
      <c r="C96" s="11" t="s">
        <v>980</v>
      </c>
      <c r="D96" s="10" t="s">
        <v>981</v>
      </c>
      <c r="E96" s="11" t="s">
        <v>982</v>
      </c>
      <c r="F96" s="10" t="s">
        <v>983</v>
      </c>
      <c r="G96" s="10" t="s">
        <v>984</v>
      </c>
      <c r="H96" s="10" t="s">
        <v>22</v>
      </c>
      <c r="I96" s="10" t="s">
        <v>115</v>
      </c>
      <c r="J96" s="10" t="s">
        <v>985</v>
      </c>
      <c r="K96" s="10" t="s">
        <v>986</v>
      </c>
      <c r="M96" s="12" t="s">
        <v>987</v>
      </c>
      <c r="N96" s="12" t="s">
        <v>988</v>
      </c>
      <c r="O96" s="12" t="s">
        <v>989</v>
      </c>
      <c r="Q96" s="8"/>
    </row>
    <row r="97" ht="22.5" customHeight="1">
      <c r="A97" s="9">
        <v>45949.47340416667</v>
      </c>
      <c r="B97" s="10" t="s">
        <v>889</v>
      </c>
      <c r="C97" s="11" t="s">
        <v>890</v>
      </c>
      <c r="D97" s="10" t="s">
        <v>891</v>
      </c>
      <c r="E97" s="10" t="s">
        <v>990</v>
      </c>
      <c r="F97" s="10" t="s">
        <v>991</v>
      </c>
      <c r="G97" s="10" t="s">
        <v>992</v>
      </c>
      <c r="H97" s="10" t="s">
        <v>52</v>
      </c>
      <c r="I97" s="10" t="s">
        <v>115</v>
      </c>
      <c r="J97" s="10" t="s">
        <v>304</v>
      </c>
      <c r="K97" s="10" t="s">
        <v>993</v>
      </c>
      <c r="L97" s="12" t="s">
        <v>994</v>
      </c>
      <c r="M97" s="12" t="s">
        <v>995</v>
      </c>
      <c r="N97" s="12" t="s">
        <v>996</v>
      </c>
      <c r="O97" s="12" t="s">
        <v>997</v>
      </c>
      <c r="Q97" s="8"/>
    </row>
    <row r="98" ht="22.5" customHeight="1">
      <c r="A98" s="9">
        <v>45949.59074443287</v>
      </c>
      <c r="B98" s="10" t="s">
        <v>998</v>
      </c>
      <c r="C98" s="11" t="s">
        <v>999</v>
      </c>
      <c r="D98" s="10" t="s">
        <v>1000</v>
      </c>
      <c r="E98" s="10" t="s">
        <v>1001</v>
      </c>
      <c r="F98" s="10" t="s">
        <v>1002</v>
      </c>
      <c r="G98" s="10" t="s">
        <v>1002</v>
      </c>
      <c r="H98" s="10" t="s">
        <v>22</v>
      </c>
      <c r="I98" s="10" t="s">
        <v>115</v>
      </c>
      <c r="J98" s="10" t="s">
        <v>1003</v>
      </c>
      <c r="K98" s="10" t="s">
        <v>1004</v>
      </c>
      <c r="L98" s="12" t="s">
        <v>1005</v>
      </c>
      <c r="M98" s="12" t="s">
        <v>1006</v>
      </c>
      <c r="N98" s="12" t="s">
        <v>1007</v>
      </c>
      <c r="O98" s="12" t="s">
        <v>1008</v>
      </c>
      <c r="Q98" s="8"/>
    </row>
    <row r="99" ht="22.5" customHeight="1">
      <c r="A99" s="9">
        <v>45950.47893331018</v>
      </c>
      <c r="B99" s="10" t="s">
        <v>641</v>
      </c>
      <c r="C99" s="11" t="s">
        <v>642</v>
      </c>
      <c r="D99" s="10" t="s">
        <v>1009</v>
      </c>
      <c r="E99" s="11" t="s">
        <v>644</v>
      </c>
      <c r="F99" s="10" t="s">
        <v>645</v>
      </c>
      <c r="G99" s="10" t="s">
        <v>1010</v>
      </c>
      <c r="H99" s="10" t="s">
        <v>52</v>
      </c>
      <c r="I99" s="10" t="s">
        <v>23</v>
      </c>
      <c r="J99" s="10" t="s">
        <v>1011</v>
      </c>
      <c r="K99" s="10" t="s">
        <v>1012</v>
      </c>
      <c r="L99" s="12" t="s">
        <v>1013</v>
      </c>
      <c r="M99" s="12" t="s">
        <v>1014</v>
      </c>
      <c r="N99" s="12" t="s">
        <v>1015</v>
      </c>
      <c r="O99" s="12" t="s">
        <v>1016</v>
      </c>
      <c r="Q99" s="8"/>
    </row>
    <row r="100" ht="22.5" customHeight="1">
      <c r="A100" s="9">
        <v>45953.47502474537</v>
      </c>
      <c r="B100" s="10" t="s">
        <v>1017</v>
      </c>
      <c r="C100" s="11" t="s">
        <v>1018</v>
      </c>
      <c r="D100" s="10" t="s">
        <v>1019</v>
      </c>
      <c r="E100" s="11" t="s">
        <v>1020</v>
      </c>
      <c r="F100" s="10" t="s">
        <v>1021</v>
      </c>
      <c r="G100" s="10" t="s">
        <v>1022</v>
      </c>
      <c r="H100" s="10" t="s">
        <v>52</v>
      </c>
      <c r="I100" s="10" t="s">
        <v>127</v>
      </c>
      <c r="J100" s="10" t="s">
        <v>139</v>
      </c>
      <c r="K100" s="10" t="s">
        <v>1023</v>
      </c>
      <c r="L100" s="12" t="s">
        <v>1024</v>
      </c>
      <c r="M100" s="12" t="s">
        <v>1025</v>
      </c>
      <c r="N100" s="12" t="s">
        <v>1026</v>
      </c>
      <c r="O100" s="12" t="s">
        <v>1027</v>
      </c>
      <c r="Q100" s="8"/>
    </row>
    <row r="101" ht="22.5" customHeight="1">
      <c r="A101" s="9">
        <v>45955.47538287037</v>
      </c>
      <c r="B101" s="10" t="s">
        <v>1028</v>
      </c>
      <c r="C101" s="11" t="s">
        <v>1029</v>
      </c>
      <c r="D101" s="10" t="s">
        <v>1030</v>
      </c>
      <c r="E101" s="10" t="s">
        <v>1031</v>
      </c>
      <c r="F101" s="10" t="s">
        <v>1032</v>
      </c>
      <c r="G101" s="10" t="s">
        <v>1032</v>
      </c>
      <c r="H101" s="10" t="s">
        <v>52</v>
      </c>
      <c r="I101" s="10" t="s">
        <v>23</v>
      </c>
      <c r="J101" s="10" t="s">
        <v>24</v>
      </c>
      <c r="K101" s="10" t="s">
        <v>1033</v>
      </c>
      <c r="L101" s="12" t="s">
        <v>1034</v>
      </c>
      <c r="M101" s="12" t="s">
        <v>1035</v>
      </c>
      <c r="N101" s="12" t="s">
        <v>1036</v>
      </c>
      <c r="O101" s="12" t="s">
        <v>1037</v>
      </c>
      <c r="Q101" s="8"/>
    </row>
    <row r="102" ht="22.5" customHeight="1">
      <c r="A102" s="9">
        <v>45955.63712841435</v>
      </c>
      <c r="B102" s="10" t="s">
        <v>1038</v>
      </c>
      <c r="C102" s="11" t="s">
        <v>781</v>
      </c>
      <c r="D102" s="10" t="s">
        <v>782</v>
      </c>
      <c r="E102" s="10" t="s">
        <v>1039</v>
      </c>
      <c r="F102" s="10" t="s">
        <v>1040</v>
      </c>
      <c r="G102" s="10" t="s">
        <v>1040</v>
      </c>
      <c r="H102" s="10" t="s">
        <v>22</v>
      </c>
      <c r="I102" s="10" t="s">
        <v>115</v>
      </c>
      <c r="J102" s="10" t="s">
        <v>1041</v>
      </c>
      <c r="K102" s="10" t="s">
        <v>786</v>
      </c>
      <c r="M102" s="12" t="s">
        <v>1042</v>
      </c>
      <c r="N102" s="12" t="s">
        <v>1043</v>
      </c>
      <c r="O102" s="12" t="s">
        <v>1044</v>
      </c>
      <c r="Q102" s="8"/>
    </row>
    <row r="103" ht="22.5" customHeight="1">
      <c r="A103" s="9">
        <v>45955.7403475926</v>
      </c>
      <c r="B103" s="10" t="s">
        <v>877</v>
      </c>
      <c r="C103" s="10" t="s">
        <v>1045</v>
      </c>
      <c r="D103" s="10" t="s">
        <v>879</v>
      </c>
      <c r="E103" s="11" t="s">
        <v>880</v>
      </c>
      <c r="F103" s="10" t="s">
        <v>1046</v>
      </c>
      <c r="G103" s="10" t="s">
        <v>1047</v>
      </c>
      <c r="H103" s="10" t="s">
        <v>52</v>
      </c>
      <c r="I103" s="10" t="s">
        <v>115</v>
      </c>
      <c r="J103" s="10" t="s">
        <v>104</v>
      </c>
      <c r="K103" s="10" t="s">
        <v>1048</v>
      </c>
      <c r="L103" s="12" t="s">
        <v>1049</v>
      </c>
      <c r="M103" s="12" t="s">
        <v>1050</v>
      </c>
      <c r="N103" s="12" t="s">
        <v>1051</v>
      </c>
      <c r="O103" s="12" t="s">
        <v>1052</v>
      </c>
      <c r="Q103" s="8"/>
    </row>
    <row r="104" ht="22.5" customHeight="1">
      <c r="A104" s="9">
        <v>45956.40603658565</v>
      </c>
      <c r="B104" s="10" t="s">
        <v>1053</v>
      </c>
      <c r="C104" s="11" t="s">
        <v>277</v>
      </c>
      <c r="D104" s="10" t="s">
        <v>278</v>
      </c>
      <c r="E104" s="11" t="s">
        <v>279</v>
      </c>
      <c r="F104" s="10" t="s">
        <v>1054</v>
      </c>
      <c r="G104" s="10" t="s">
        <v>1054</v>
      </c>
      <c r="H104" s="10" t="s">
        <v>52</v>
      </c>
      <c r="I104" s="10" t="s">
        <v>115</v>
      </c>
      <c r="J104" s="10" t="s">
        <v>64</v>
      </c>
      <c r="K104" s="10" t="s">
        <v>282</v>
      </c>
      <c r="L104" s="12" t="s">
        <v>1055</v>
      </c>
      <c r="M104" s="12" t="s">
        <v>1056</v>
      </c>
      <c r="N104" s="12" t="s">
        <v>1057</v>
      </c>
      <c r="O104" s="12" t="s">
        <v>1058</v>
      </c>
      <c r="Q104" s="8"/>
    </row>
    <row r="105" ht="22.5" customHeight="1">
      <c r="A105" s="9">
        <v>45961.97070875</v>
      </c>
      <c r="B105" s="10" t="s">
        <v>310</v>
      </c>
      <c r="C105" s="11" t="s">
        <v>311</v>
      </c>
      <c r="D105" s="10" t="s">
        <v>312</v>
      </c>
      <c r="E105" s="10" t="s">
        <v>313</v>
      </c>
      <c r="F105" s="10" t="s">
        <v>1059</v>
      </c>
      <c r="G105" s="10" t="s">
        <v>1060</v>
      </c>
      <c r="H105" s="10" t="s">
        <v>52</v>
      </c>
      <c r="I105" s="10" t="s">
        <v>115</v>
      </c>
      <c r="J105" s="10" t="s">
        <v>1061</v>
      </c>
      <c r="K105" s="10" t="s">
        <v>316</v>
      </c>
      <c r="L105" s="12" t="s">
        <v>1062</v>
      </c>
      <c r="M105" s="12" t="s">
        <v>1063</v>
      </c>
      <c r="N105" s="12" t="s">
        <v>1064</v>
      </c>
      <c r="O105" s="12" t="s">
        <v>1065</v>
      </c>
      <c r="Q105" s="8"/>
    </row>
    <row r="106" ht="22.5" customHeight="1">
      <c r="A106" s="9">
        <v>45966.79099734954</v>
      </c>
      <c r="B106" s="10" t="s">
        <v>1066</v>
      </c>
      <c r="C106" s="11" t="s">
        <v>912</v>
      </c>
      <c r="D106" s="10" t="s">
        <v>1067</v>
      </c>
      <c r="E106" s="11" t="s">
        <v>914</v>
      </c>
      <c r="F106" s="10" t="s">
        <v>1068</v>
      </c>
      <c r="G106" s="10" t="s">
        <v>1068</v>
      </c>
      <c r="H106" s="10" t="s">
        <v>52</v>
      </c>
      <c r="I106" s="10" t="s">
        <v>115</v>
      </c>
      <c r="J106" s="10" t="s">
        <v>304</v>
      </c>
      <c r="K106" s="10" t="s">
        <v>918</v>
      </c>
      <c r="L106" s="12" t="s">
        <v>1069</v>
      </c>
      <c r="M106" s="12" t="s">
        <v>1070</v>
      </c>
      <c r="N106" s="12" t="s">
        <v>1071</v>
      </c>
      <c r="O106" s="12" t="s">
        <v>1072</v>
      </c>
      <c r="Q106" s="8"/>
    </row>
    <row r="107" ht="22.5" customHeight="1">
      <c r="A107" s="9">
        <v>45967.52181146991</v>
      </c>
      <c r="B107" s="10" t="s">
        <v>1073</v>
      </c>
      <c r="C107" s="11" t="s">
        <v>1074</v>
      </c>
      <c r="D107" s="10" t="s">
        <v>1075</v>
      </c>
      <c r="E107" s="11" t="s">
        <v>1076</v>
      </c>
      <c r="F107" s="10" t="s">
        <v>1077</v>
      </c>
      <c r="G107" s="10" t="s">
        <v>1077</v>
      </c>
      <c r="H107" s="10" t="s">
        <v>52</v>
      </c>
      <c r="I107" s="10" t="s">
        <v>115</v>
      </c>
      <c r="J107" s="10" t="s">
        <v>193</v>
      </c>
      <c r="K107" s="10" t="s">
        <v>1078</v>
      </c>
      <c r="L107" s="12" t="s">
        <v>1079</v>
      </c>
      <c r="M107" s="12" t="s">
        <v>1080</v>
      </c>
      <c r="N107" s="12" t="s">
        <v>1081</v>
      </c>
      <c r="O107" s="12" t="s">
        <v>1082</v>
      </c>
      <c r="Q107" s="8"/>
    </row>
    <row r="108" ht="22.5" customHeight="1">
      <c r="A108" s="9">
        <v>45968.60237608796</v>
      </c>
      <c r="B108" s="10" t="s">
        <v>998</v>
      </c>
      <c r="C108" s="11" t="s">
        <v>999</v>
      </c>
      <c r="D108" s="10" t="s">
        <v>1083</v>
      </c>
      <c r="E108" s="10" t="s">
        <v>1001</v>
      </c>
      <c r="F108" s="10" t="s">
        <v>1084</v>
      </c>
      <c r="G108" s="10" t="s">
        <v>1084</v>
      </c>
      <c r="H108" s="10" t="s">
        <v>22</v>
      </c>
      <c r="I108" s="10" t="s">
        <v>115</v>
      </c>
      <c r="J108" s="10" t="s">
        <v>963</v>
      </c>
      <c r="K108" s="10" t="s">
        <v>1085</v>
      </c>
      <c r="L108" s="12" t="s">
        <v>1086</v>
      </c>
      <c r="M108" s="12" t="s">
        <v>1087</v>
      </c>
      <c r="N108" s="12" t="s">
        <v>1088</v>
      </c>
      <c r="O108" s="12" t="s">
        <v>1089</v>
      </c>
      <c r="Q108" s="8"/>
    </row>
    <row r="109" ht="22.5" customHeight="1">
      <c r="A109" s="9">
        <v>45968.63365820602</v>
      </c>
      <c r="B109" s="10" t="s">
        <v>1090</v>
      </c>
      <c r="C109" s="11" t="s">
        <v>1091</v>
      </c>
      <c r="D109" s="10" t="s">
        <v>1092</v>
      </c>
      <c r="E109" s="11" t="s">
        <v>1093</v>
      </c>
      <c r="F109" s="10" t="s">
        <v>1094</v>
      </c>
      <c r="G109" s="10" t="s">
        <v>1095</v>
      </c>
      <c r="H109" s="10" t="s">
        <v>22</v>
      </c>
      <c r="I109" s="10" t="s">
        <v>115</v>
      </c>
      <c r="J109" s="10" t="s">
        <v>139</v>
      </c>
      <c r="K109" s="10" t="s">
        <v>1096</v>
      </c>
      <c r="L109" s="12" t="s">
        <v>1097</v>
      </c>
      <c r="M109" s="12" t="s">
        <v>1098</v>
      </c>
      <c r="N109" s="12" t="s">
        <v>1099</v>
      </c>
      <c r="O109" s="12" t="s">
        <v>1100</v>
      </c>
      <c r="Q109" s="8"/>
    </row>
    <row r="110" ht="22.5" customHeight="1">
      <c r="A110" s="9">
        <v>45969.37547293981</v>
      </c>
      <c r="B110" s="10" t="s">
        <v>1038</v>
      </c>
      <c r="C110" s="11" t="s">
        <v>781</v>
      </c>
      <c r="D110" s="10" t="s">
        <v>782</v>
      </c>
      <c r="E110" s="10" t="s">
        <v>783</v>
      </c>
      <c r="F110" s="10" t="s">
        <v>784</v>
      </c>
      <c r="G110" s="10" t="s">
        <v>784</v>
      </c>
      <c r="H110" s="10" t="s">
        <v>52</v>
      </c>
      <c r="I110" s="10" t="s">
        <v>23</v>
      </c>
      <c r="J110" s="10" t="s">
        <v>1101</v>
      </c>
      <c r="K110" s="10" t="s">
        <v>786</v>
      </c>
      <c r="M110" s="12" t="s">
        <v>1102</v>
      </c>
      <c r="N110" s="12" t="s">
        <v>1103</v>
      </c>
      <c r="O110" s="12" t="s">
        <v>1104</v>
      </c>
      <c r="Q110" s="8"/>
    </row>
    <row r="111" ht="22.5" customHeight="1">
      <c r="A111" s="9">
        <v>45971.6205152662</v>
      </c>
      <c r="B111" s="10" t="s">
        <v>1105</v>
      </c>
      <c r="C111" s="11" t="s">
        <v>1106</v>
      </c>
      <c r="D111" s="10" t="s">
        <v>1107</v>
      </c>
      <c r="E111" s="11" t="s">
        <v>1108</v>
      </c>
      <c r="F111" s="10" t="s">
        <v>1109</v>
      </c>
      <c r="G111" s="10" t="s">
        <v>1109</v>
      </c>
      <c r="H111" s="10" t="s">
        <v>52</v>
      </c>
      <c r="I111" s="10" t="s">
        <v>127</v>
      </c>
      <c r="J111" s="10" t="s">
        <v>1110</v>
      </c>
      <c r="K111" s="10" t="s">
        <v>1111</v>
      </c>
      <c r="L111" s="12" t="s">
        <v>1112</v>
      </c>
      <c r="M111" s="12" t="s">
        <v>1113</v>
      </c>
      <c r="N111" s="12" t="s">
        <v>1114</v>
      </c>
      <c r="O111" s="12" t="s">
        <v>1115</v>
      </c>
      <c r="Q111" s="8"/>
    </row>
    <row r="112" ht="22.5" customHeight="1">
      <c r="A112" s="9">
        <v>45971.660153310186</v>
      </c>
      <c r="B112" s="10" t="s">
        <v>1116</v>
      </c>
      <c r="C112" s="11" t="s">
        <v>1117</v>
      </c>
      <c r="D112" s="10" t="s">
        <v>1118</v>
      </c>
      <c r="E112" s="11" t="s">
        <v>1119</v>
      </c>
      <c r="F112" s="10" t="s">
        <v>1120</v>
      </c>
      <c r="G112" s="10" t="s">
        <v>1120</v>
      </c>
      <c r="H112" s="10" t="s">
        <v>22</v>
      </c>
      <c r="I112" s="10" t="s">
        <v>23</v>
      </c>
      <c r="J112" s="10" t="s">
        <v>1121</v>
      </c>
      <c r="K112" s="10" t="s">
        <v>1122</v>
      </c>
      <c r="L112" s="12" t="s">
        <v>1123</v>
      </c>
      <c r="M112" s="12" t="s">
        <v>1124</v>
      </c>
      <c r="N112" s="12" t="s">
        <v>1125</v>
      </c>
      <c r="O112" s="12" t="s">
        <v>1126</v>
      </c>
      <c r="Q112" s="8"/>
    </row>
    <row r="113" ht="22.5" customHeight="1">
      <c r="A113" s="9">
        <v>45977.82116180555</v>
      </c>
      <c r="B113" s="10" t="s">
        <v>276</v>
      </c>
      <c r="C113" s="11" t="s">
        <v>277</v>
      </c>
      <c r="D113" s="10" t="s">
        <v>1127</v>
      </c>
      <c r="E113" s="11" t="s">
        <v>279</v>
      </c>
      <c r="F113" s="10" t="s">
        <v>1128</v>
      </c>
      <c r="G113" s="10" t="s">
        <v>1128</v>
      </c>
      <c r="H113" s="10" t="s">
        <v>22</v>
      </c>
      <c r="I113" s="10" t="s">
        <v>115</v>
      </c>
      <c r="J113" s="10" t="s">
        <v>304</v>
      </c>
      <c r="K113" s="10" t="s">
        <v>282</v>
      </c>
      <c r="L113" s="12" t="s">
        <v>1129</v>
      </c>
      <c r="M113" s="12" t="s">
        <v>1130</v>
      </c>
      <c r="N113" s="12" t="s">
        <v>1131</v>
      </c>
      <c r="O113" s="12" t="s">
        <v>1132</v>
      </c>
      <c r="Q113" s="8"/>
    </row>
    <row r="114" ht="22.5" customHeight="1">
      <c r="A114" s="9">
        <v>45977.93328679398</v>
      </c>
      <c r="B114" s="10" t="s">
        <v>1038</v>
      </c>
      <c r="C114" s="11" t="s">
        <v>781</v>
      </c>
      <c r="D114" s="10" t="s">
        <v>782</v>
      </c>
      <c r="E114" s="10" t="s">
        <v>783</v>
      </c>
      <c r="F114" s="10" t="s">
        <v>784</v>
      </c>
      <c r="G114" s="10" t="s">
        <v>784</v>
      </c>
      <c r="H114" s="10" t="s">
        <v>22</v>
      </c>
      <c r="I114" s="10" t="s">
        <v>23</v>
      </c>
      <c r="J114" s="10" t="s">
        <v>64</v>
      </c>
      <c r="K114" s="10" t="s">
        <v>786</v>
      </c>
      <c r="M114" s="12" t="s">
        <v>1133</v>
      </c>
      <c r="N114" s="12" t="s">
        <v>1134</v>
      </c>
      <c r="O114" s="12" t="s">
        <v>1135</v>
      </c>
      <c r="Q114" s="8"/>
    </row>
    <row r="115" ht="22.5" customHeight="1">
      <c r="A115" s="9">
        <v>45978.5428095949</v>
      </c>
      <c r="B115" s="10" t="s">
        <v>1136</v>
      </c>
      <c r="C115" s="11" t="s">
        <v>233</v>
      </c>
      <c r="D115" s="10" t="s">
        <v>1137</v>
      </c>
      <c r="E115" s="10" t="s">
        <v>235</v>
      </c>
      <c r="F115" s="10" t="s">
        <v>1138</v>
      </c>
      <c r="G115" s="10" t="s">
        <v>1139</v>
      </c>
      <c r="H115" s="10" t="s">
        <v>52</v>
      </c>
      <c r="I115" s="10" t="s">
        <v>23</v>
      </c>
      <c r="J115" s="10" t="s">
        <v>31</v>
      </c>
      <c r="K115" s="10" t="s">
        <v>832</v>
      </c>
      <c r="M115" s="12" t="s">
        <v>1140</v>
      </c>
      <c r="N115" s="12" t="s">
        <v>1141</v>
      </c>
      <c r="O115" s="12" t="s">
        <v>1142</v>
      </c>
      <c r="Q115" s="8"/>
    </row>
    <row r="116" ht="22.5" customHeight="1">
      <c r="A116" s="9">
        <v>45978.66263189814</v>
      </c>
      <c r="B116" s="10" t="s">
        <v>1143</v>
      </c>
      <c r="C116" s="11" t="s">
        <v>1144</v>
      </c>
      <c r="D116" s="10" t="s">
        <v>1145</v>
      </c>
      <c r="E116" s="11" t="s">
        <v>1146</v>
      </c>
      <c r="F116" s="10" t="s">
        <v>1147</v>
      </c>
      <c r="G116" s="10" t="s">
        <v>1147</v>
      </c>
      <c r="H116" s="10" t="s">
        <v>22</v>
      </c>
      <c r="I116" s="10" t="s">
        <v>115</v>
      </c>
      <c r="J116" s="10" t="s">
        <v>401</v>
      </c>
      <c r="K116" s="10" t="s">
        <v>1148</v>
      </c>
      <c r="L116" s="12" t="s">
        <v>1149</v>
      </c>
      <c r="M116" s="12" t="s">
        <v>1150</v>
      </c>
      <c r="N116" s="12" t="s">
        <v>1151</v>
      </c>
      <c r="O116" s="12" t="s">
        <v>1152</v>
      </c>
      <c r="Q116" s="8"/>
    </row>
    <row r="117" ht="22.5" customHeight="1">
      <c r="A117" s="9">
        <v>45980.38724210648</v>
      </c>
      <c r="B117" s="10" t="s">
        <v>1153</v>
      </c>
      <c r="C117" s="11" t="s">
        <v>1154</v>
      </c>
      <c r="D117" s="10" t="s">
        <v>1155</v>
      </c>
      <c r="E117" s="11" t="s">
        <v>1156</v>
      </c>
      <c r="F117" s="10" t="s">
        <v>1157</v>
      </c>
      <c r="G117" s="10" t="s">
        <v>1157</v>
      </c>
      <c r="H117" s="10" t="s">
        <v>52</v>
      </c>
      <c r="I117" s="10" t="s">
        <v>23</v>
      </c>
      <c r="J117" s="10" t="s">
        <v>763</v>
      </c>
      <c r="K117" s="10" t="s">
        <v>1158</v>
      </c>
      <c r="L117" s="12" t="s">
        <v>1159</v>
      </c>
      <c r="M117" s="12" t="s">
        <v>1160</v>
      </c>
      <c r="N117" s="12" t="s">
        <v>1161</v>
      </c>
      <c r="O117" s="12" t="s">
        <v>1162</v>
      </c>
      <c r="Q117" s="8"/>
    </row>
    <row r="118" ht="22.5" customHeight="1">
      <c r="A118" s="9">
        <v>45981.44818890047</v>
      </c>
      <c r="B118" s="10" t="s">
        <v>979</v>
      </c>
      <c r="C118" s="11" t="s">
        <v>980</v>
      </c>
      <c r="D118" s="10" t="s">
        <v>981</v>
      </c>
      <c r="E118" s="11" t="s">
        <v>982</v>
      </c>
      <c r="F118" s="10" t="s">
        <v>1163</v>
      </c>
      <c r="G118" s="10" t="s">
        <v>1164</v>
      </c>
      <c r="H118" s="10" t="s">
        <v>22</v>
      </c>
      <c r="I118" s="10" t="s">
        <v>23</v>
      </c>
      <c r="J118" s="10" t="s">
        <v>985</v>
      </c>
      <c r="K118" s="10" t="s">
        <v>986</v>
      </c>
      <c r="M118" s="12" t="s">
        <v>1165</v>
      </c>
      <c r="N118" s="12" t="s">
        <v>1166</v>
      </c>
      <c r="O118" s="12" t="s">
        <v>1167</v>
      </c>
      <c r="Q118" s="8"/>
    </row>
    <row r="119" ht="22.5" customHeight="1">
      <c r="A119" s="9">
        <v>45981.73402686343</v>
      </c>
      <c r="B119" s="10" t="s">
        <v>1168</v>
      </c>
      <c r="C119" s="11" t="s">
        <v>1169</v>
      </c>
      <c r="D119" s="10" t="s">
        <v>1170</v>
      </c>
      <c r="E119" s="10" t="s">
        <v>1171</v>
      </c>
      <c r="F119" s="10" t="s">
        <v>1172</v>
      </c>
      <c r="G119" s="10" t="s">
        <v>1172</v>
      </c>
      <c r="H119" s="10" t="s">
        <v>52</v>
      </c>
      <c r="I119" s="10" t="s">
        <v>115</v>
      </c>
      <c r="J119" s="10" t="s">
        <v>1173</v>
      </c>
      <c r="K119" s="10" t="s">
        <v>1174</v>
      </c>
      <c r="L119" s="12" t="s">
        <v>1175</v>
      </c>
      <c r="M119" s="12" t="s">
        <v>1176</v>
      </c>
      <c r="N119" s="12" t="s">
        <v>1177</v>
      </c>
      <c r="O119" s="12" t="s">
        <v>1178</v>
      </c>
      <c r="Q119" s="8"/>
    </row>
    <row r="120" ht="22.5" customHeight="1">
      <c r="A120" s="9">
        <v>45981.85982221065</v>
      </c>
      <c r="B120" s="10" t="s">
        <v>1179</v>
      </c>
      <c r="C120" s="11" t="s">
        <v>1180</v>
      </c>
      <c r="D120" s="10" t="s">
        <v>1181</v>
      </c>
      <c r="E120" s="11" t="s">
        <v>1182</v>
      </c>
      <c r="F120" s="10" t="s">
        <v>1183</v>
      </c>
      <c r="G120" s="10" t="s">
        <v>1183</v>
      </c>
      <c r="H120" s="10" t="s">
        <v>52</v>
      </c>
      <c r="I120" s="10" t="s">
        <v>115</v>
      </c>
      <c r="J120" s="10" t="s">
        <v>104</v>
      </c>
      <c r="K120" s="10" t="s">
        <v>1184</v>
      </c>
      <c r="L120" s="12" t="s">
        <v>1185</v>
      </c>
      <c r="M120" s="12" t="s">
        <v>1186</v>
      </c>
      <c r="N120" s="12" t="s">
        <v>1187</v>
      </c>
      <c r="O120" s="12" t="s">
        <v>1188</v>
      </c>
      <c r="Q120" s="8"/>
    </row>
    <row r="121" ht="22.5" customHeight="1">
      <c r="A121" s="9">
        <v>45982.512441377316</v>
      </c>
      <c r="B121" s="10" t="s">
        <v>1189</v>
      </c>
      <c r="C121" s="11" t="s">
        <v>1190</v>
      </c>
      <c r="D121" s="10" t="s">
        <v>1191</v>
      </c>
      <c r="E121" s="10" t="s">
        <v>1192</v>
      </c>
      <c r="F121" s="10" t="s">
        <v>1193</v>
      </c>
      <c r="G121" s="10" t="s">
        <v>1193</v>
      </c>
      <c r="H121" s="10" t="s">
        <v>22</v>
      </c>
      <c r="I121" s="10" t="s">
        <v>23</v>
      </c>
      <c r="J121" s="10" t="s">
        <v>1194</v>
      </c>
      <c r="K121" s="10" t="s">
        <v>1195</v>
      </c>
      <c r="L121" s="12" t="s">
        <v>1196</v>
      </c>
      <c r="M121" s="12" t="s">
        <v>1197</v>
      </c>
      <c r="N121" s="12" t="s">
        <v>1198</v>
      </c>
      <c r="O121" s="12" t="s">
        <v>1199</v>
      </c>
      <c r="Q121" s="8"/>
    </row>
    <row r="122" ht="22.5" customHeight="1">
      <c r="A122" s="9">
        <v>45983.81105045139</v>
      </c>
      <c r="B122" s="10" t="s">
        <v>1200</v>
      </c>
      <c r="C122" s="11" t="s">
        <v>1201</v>
      </c>
      <c r="D122" s="10" t="s">
        <v>1202</v>
      </c>
      <c r="E122" s="11" t="s">
        <v>1203</v>
      </c>
      <c r="F122" s="10" t="s">
        <v>1204</v>
      </c>
      <c r="G122" s="10" t="s">
        <v>1205</v>
      </c>
      <c r="H122" s="10" t="s">
        <v>22</v>
      </c>
      <c r="I122" s="10" t="s">
        <v>23</v>
      </c>
      <c r="J122" s="10" t="s">
        <v>1206</v>
      </c>
      <c r="K122" s="10" t="s">
        <v>1207</v>
      </c>
      <c r="L122" s="12" t="s">
        <v>1208</v>
      </c>
      <c r="M122" s="12" t="s">
        <v>1209</v>
      </c>
      <c r="N122" s="12" t="s">
        <v>1210</v>
      </c>
      <c r="O122" s="12" t="s">
        <v>1211</v>
      </c>
      <c r="Q122" s="8"/>
    </row>
    <row r="123" ht="22.5" customHeight="1">
      <c r="A123" s="9">
        <v>45985.92609858797</v>
      </c>
      <c r="B123" s="10" t="s">
        <v>1212</v>
      </c>
      <c r="C123" s="11" t="s">
        <v>1213</v>
      </c>
      <c r="D123" s="10" t="s">
        <v>1214</v>
      </c>
      <c r="E123" s="11" t="s">
        <v>1215</v>
      </c>
      <c r="F123" s="10" t="s">
        <v>1216</v>
      </c>
      <c r="G123" s="10" t="s">
        <v>1217</v>
      </c>
      <c r="H123" s="10" t="s">
        <v>22</v>
      </c>
      <c r="I123" s="10" t="s">
        <v>23</v>
      </c>
      <c r="J123" s="10" t="s">
        <v>1218</v>
      </c>
      <c r="K123" s="10" t="s">
        <v>1219</v>
      </c>
      <c r="L123" s="12" t="s">
        <v>1220</v>
      </c>
      <c r="M123" s="12" t="s">
        <v>1221</v>
      </c>
      <c r="N123" s="12" t="s">
        <v>1222</v>
      </c>
      <c r="O123" s="12" t="s">
        <v>1223</v>
      </c>
      <c r="Q123" s="8"/>
    </row>
    <row r="124" ht="22.5" customHeight="1">
      <c r="A124" s="9">
        <v>45986.37734028936</v>
      </c>
      <c r="B124" s="10" t="s">
        <v>1224</v>
      </c>
      <c r="C124" s="11" t="s">
        <v>1225</v>
      </c>
      <c r="D124" s="10" t="s">
        <v>1226</v>
      </c>
      <c r="E124" s="10" t="s">
        <v>1227</v>
      </c>
      <c r="F124" s="10" t="s">
        <v>1228</v>
      </c>
      <c r="G124" s="10" t="s">
        <v>1229</v>
      </c>
      <c r="H124" s="10" t="s">
        <v>52</v>
      </c>
      <c r="I124" s="10" t="s">
        <v>115</v>
      </c>
      <c r="J124" s="10" t="s">
        <v>1230</v>
      </c>
      <c r="K124" s="10" t="s">
        <v>1231</v>
      </c>
      <c r="L124" s="12" t="s">
        <v>1232</v>
      </c>
      <c r="M124" s="12" t="s">
        <v>1233</v>
      </c>
      <c r="N124" s="12" t="s">
        <v>1234</v>
      </c>
      <c r="O124" s="12" t="s">
        <v>1235</v>
      </c>
      <c r="Q124" s="8"/>
    </row>
    <row r="125" ht="22.5" customHeight="1">
      <c r="A125" s="9">
        <v>45987.533374652776</v>
      </c>
      <c r="B125" s="10" t="s">
        <v>1236</v>
      </c>
      <c r="C125" s="11" t="s">
        <v>1237</v>
      </c>
      <c r="D125" s="10" t="s">
        <v>1238</v>
      </c>
      <c r="E125" s="11" t="s">
        <v>1239</v>
      </c>
      <c r="F125" s="10" t="s">
        <v>1240</v>
      </c>
      <c r="G125" s="10" t="s">
        <v>1240</v>
      </c>
      <c r="H125" s="10" t="s">
        <v>22</v>
      </c>
      <c r="I125" s="10" t="s">
        <v>23</v>
      </c>
      <c r="J125" s="10" t="s">
        <v>1241</v>
      </c>
      <c r="K125" s="10" t="s">
        <v>1242</v>
      </c>
      <c r="L125" s="12" t="s">
        <v>1243</v>
      </c>
      <c r="M125" s="12" t="s">
        <v>1244</v>
      </c>
      <c r="N125" s="12" t="s">
        <v>1245</v>
      </c>
      <c r="O125" s="12" t="s">
        <v>1246</v>
      </c>
      <c r="Q125" s="8"/>
    </row>
    <row r="126" ht="22.5" customHeight="1">
      <c r="A126" s="9">
        <v>45989.40910060186</v>
      </c>
      <c r="B126" s="10" t="s">
        <v>1247</v>
      </c>
      <c r="C126" s="11" t="s">
        <v>1248</v>
      </c>
      <c r="D126" s="10" t="s">
        <v>1249</v>
      </c>
      <c r="E126" s="11" t="s">
        <v>1250</v>
      </c>
      <c r="F126" s="10" t="s">
        <v>1251</v>
      </c>
      <c r="G126" s="10" t="s">
        <v>1252</v>
      </c>
      <c r="H126" s="10" t="s">
        <v>52</v>
      </c>
      <c r="I126" s="10" t="s">
        <v>127</v>
      </c>
      <c r="J126" s="10" t="s">
        <v>1194</v>
      </c>
      <c r="K126" s="10" t="s">
        <v>1253</v>
      </c>
      <c r="L126" s="12" t="s">
        <v>1254</v>
      </c>
      <c r="M126" s="12" t="s">
        <v>1255</v>
      </c>
      <c r="N126" s="12" t="s">
        <v>1256</v>
      </c>
      <c r="O126" s="12" t="s">
        <v>1257</v>
      </c>
      <c r="Q126" s="8"/>
    </row>
    <row r="127" ht="22.5" customHeight="1">
      <c r="A127" s="9">
        <v>45992.4195193287</v>
      </c>
      <c r="B127" s="10" t="s">
        <v>1258</v>
      </c>
      <c r="C127" s="11" t="s">
        <v>1259</v>
      </c>
      <c r="D127" s="10" t="s">
        <v>1260</v>
      </c>
      <c r="E127" s="11" t="s">
        <v>1261</v>
      </c>
      <c r="F127" s="10" t="s">
        <v>1262</v>
      </c>
      <c r="G127" s="10" t="s">
        <v>1263</v>
      </c>
      <c r="H127" s="10" t="s">
        <v>52</v>
      </c>
      <c r="I127" s="10" t="s">
        <v>115</v>
      </c>
      <c r="J127" s="10" t="s">
        <v>401</v>
      </c>
      <c r="K127" s="10" t="s">
        <v>1264</v>
      </c>
      <c r="L127" s="12" t="s">
        <v>1265</v>
      </c>
      <c r="M127" s="12" t="s">
        <v>1266</v>
      </c>
      <c r="N127" s="12" t="s">
        <v>1267</v>
      </c>
      <c r="O127" s="12" t="s">
        <v>1268</v>
      </c>
      <c r="Q127" s="8"/>
    </row>
    <row r="128" ht="22.5" customHeight="1">
      <c r="A128" s="9">
        <v>45993.36627895833</v>
      </c>
      <c r="B128" s="10" t="s">
        <v>1269</v>
      </c>
      <c r="C128" s="11" t="s">
        <v>1270</v>
      </c>
      <c r="D128" s="10" t="s">
        <v>1271</v>
      </c>
      <c r="E128" s="11" t="s">
        <v>1272</v>
      </c>
      <c r="F128" s="10" t="s">
        <v>1273</v>
      </c>
      <c r="G128" s="10" t="s">
        <v>1273</v>
      </c>
      <c r="H128" s="10" t="s">
        <v>52</v>
      </c>
      <c r="I128" s="10" t="s">
        <v>23</v>
      </c>
      <c r="J128" s="10" t="s">
        <v>31</v>
      </c>
      <c r="K128" s="10" t="s">
        <v>1274</v>
      </c>
      <c r="L128" s="12" t="s">
        <v>1275</v>
      </c>
      <c r="M128" s="12" t="s">
        <v>1276</v>
      </c>
      <c r="N128" s="12" t="s">
        <v>1277</v>
      </c>
      <c r="O128" s="12" t="s">
        <v>1278</v>
      </c>
      <c r="Q128" s="8"/>
    </row>
    <row r="129" ht="22.5" customHeight="1">
      <c r="A129" s="9">
        <v>45995.63508703704</v>
      </c>
      <c r="B129" s="10" t="s">
        <v>1279</v>
      </c>
      <c r="C129" s="11" t="s">
        <v>1280</v>
      </c>
      <c r="D129" s="10" t="s">
        <v>1281</v>
      </c>
      <c r="E129" s="10" t="s">
        <v>1282</v>
      </c>
      <c r="F129" s="10" t="s">
        <v>1283</v>
      </c>
      <c r="G129" s="10" t="s">
        <v>1284</v>
      </c>
      <c r="H129" s="10" t="s">
        <v>22</v>
      </c>
      <c r="I129" s="10" t="s">
        <v>23</v>
      </c>
      <c r="J129" s="10" t="s">
        <v>831</v>
      </c>
      <c r="K129" s="10" t="s">
        <v>1285</v>
      </c>
      <c r="L129" s="12" t="s">
        <v>1286</v>
      </c>
      <c r="M129" s="12" t="s">
        <v>1287</v>
      </c>
      <c r="N129" s="12" t="s">
        <v>1288</v>
      </c>
      <c r="O129" s="12" t="s">
        <v>1289</v>
      </c>
      <c r="Q129" s="8"/>
    </row>
    <row r="130" ht="22.5" customHeight="1">
      <c r="A130" s="9">
        <v>45999.5765330787</v>
      </c>
      <c r="B130" s="10" t="s">
        <v>1258</v>
      </c>
      <c r="C130" s="11" t="s">
        <v>1259</v>
      </c>
      <c r="D130" s="10" t="s">
        <v>1260</v>
      </c>
      <c r="E130" s="11" t="s">
        <v>1261</v>
      </c>
      <c r="F130" s="10" t="s">
        <v>1290</v>
      </c>
      <c r="G130" s="10" t="s">
        <v>1291</v>
      </c>
      <c r="H130" s="10" t="s">
        <v>52</v>
      </c>
      <c r="I130" s="10" t="s">
        <v>23</v>
      </c>
      <c r="J130" s="10" t="s">
        <v>139</v>
      </c>
      <c r="K130" s="10" t="s">
        <v>1264</v>
      </c>
      <c r="L130" s="12" t="s">
        <v>1292</v>
      </c>
      <c r="M130" s="12" t="s">
        <v>1293</v>
      </c>
      <c r="N130" s="12" t="s">
        <v>1294</v>
      </c>
      <c r="O130" s="12" t="s">
        <v>1295</v>
      </c>
      <c r="Q130" s="8"/>
    </row>
    <row r="131" ht="22.5" customHeight="1">
      <c r="A131" s="9">
        <v>46002.23879508102</v>
      </c>
      <c r="B131" s="10" t="s">
        <v>1279</v>
      </c>
      <c r="C131" s="11" t="s">
        <v>1296</v>
      </c>
      <c r="D131" s="10" t="s">
        <v>1297</v>
      </c>
      <c r="E131" s="10" t="s">
        <v>1282</v>
      </c>
      <c r="F131" s="10" t="s">
        <v>1283</v>
      </c>
      <c r="G131" s="10" t="s">
        <v>1298</v>
      </c>
      <c r="H131" s="10" t="s">
        <v>22</v>
      </c>
      <c r="I131" s="10" t="s">
        <v>23</v>
      </c>
      <c r="J131" s="10" t="s">
        <v>1101</v>
      </c>
      <c r="K131" s="10" t="s">
        <v>1285</v>
      </c>
      <c r="M131" s="12" t="s">
        <v>1299</v>
      </c>
      <c r="N131" s="12" t="s">
        <v>1300</v>
      </c>
      <c r="O131" s="12" t="s">
        <v>1301</v>
      </c>
      <c r="Q131" s="8"/>
    </row>
    <row r="132" ht="22.5" customHeight="1">
      <c r="A132" s="9">
        <v>46002.502296562496</v>
      </c>
      <c r="B132" s="10" t="s">
        <v>1302</v>
      </c>
      <c r="C132" s="11" t="s">
        <v>1303</v>
      </c>
      <c r="D132" s="10" t="s">
        <v>1304</v>
      </c>
      <c r="E132" s="11" t="s">
        <v>1305</v>
      </c>
      <c r="F132" s="10" t="s">
        <v>1306</v>
      </c>
      <c r="G132" s="10" t="s">
        <v>1306</v>
      </c>
      <c r="H132" s="10" t="s">
        <v>22</v>
      </c>
      <c r="I132" s="10" t="s">
        <v>115</v>
      </c>
      <c r="J132" s="10" t="s">
        <v>1307</v>
      </c>
      <c r="K132" s="10" t="s">
        <v>1308</v>
      </c>
      <c r="M132" s="12" t="s">
        <v>1309</v>
      </c>
      <c r="N132" s="12" t="s">
        <v>1310</v>
      </c>
      <c r="O132" s="12" t="s">
        <v>1311</v>
      </c>
      <c r="Q132" s="8"/>
    </row>
    <row r="133" ht="22.5" customHeight="1">
      <c r="A133" s="9">
        <v>46003.3376713426</v>
      </c>
      <c r="B133" s="10" t="s">
        <v>1312</v>
      </c>
      <c r="C133" s="11" t="s">
        <v>1313</v>
      </c>
      <c r="D133" s="10" t="s">
        <v>1314</v>
      </c>
      <c r="E133" s="11" t="s">
        <v>1315</v>
      </c>
      <c r="F133" s="10" t="s">
        <v>1316</v>
      </c>
      <c r="G133" s="10" t="s">
        <v>1317</v>
      </c>
      <c r="H133" s="10" t="s">
        <v>22</v>
      </c>
      <c r="I133" s="10" t="s">
        <v>23</v>
      </c>
      <c r="J133" s="10" t="s">
        <v>1318</v>
      </c>
      <c r="K133" s="10" t="s">
        <v>1319</v>
      </c>
      <c r="L133" s="12" t="s">
        <v>1320</v>
      </c>
      <c r="M133" s="12" t="s">
        <v>1321</v>
      </c>
      <c r="N133" s="12" t="s">
        <v>1322</v>
      </c>
      <c r="O133" s="12" t="s">
        <v>1323</v>
      </c>
      <c r="Q133" s="8"/>
    </row>
    <row r="134" ht="22.5" customHeight="1">
      <c r="A134" s="9">
        <v>46005.40707666667</v>
      </c>
      <c r="B134" s="10" t="s">
        <v>1324</v>
      </c>
      <c r="C134" s="11" t="s">
        <v>1325</v>
      </c>
      <c r="D134" s="10" t="s">
        <v>1326</v>
      </c>
      <c r="E134" s="11" t="s">
        <v>1327</v>
      </c>
      <c r="F134" s="10" t="s">
        <v>1328</v>
      </c>
      <c r="G134" s="10" t="s">
        <v>1328</v>
      </c>
      <c r="H134" s="10" t="s">
        <v>52</v>
      </c>
      <c r="I134" s="10" t="s">
        <v>23</v>
      </c>
      <c r="J134" s="10" t="s">
        <v>205</v>
      </c>
      <c r="K134" s="10" t="s">
        <v>1329</v>
      </c>
      <c r="L134" s="12" t="s">
        <v>1330</v>
      </c>
      <c r="M134" s="12" t="s">
        <v>1331</v>
      </c>
      <c r="N134" s="12" t="s">
        <v>1332</v>
      </c>
      <c r="O134" s="12" t="s">
        <v>1333</v>
      </c>
      <c r="Q134" s="8"/>
    </row>
    <row r="135" ht="22.5" customHeight="1">
      <c r="A135" s="9">
        <v>46006.43737113426</v>
      </c>
      <c r="B135" s="10" t="s">
        <v>1334</v>
      </c>
      <c r="C135" s="11" t="s">
        <v>1335</v>
      </c>
      <c r="D135" s="10" t="s">
        <v>1336</v>
      </c>
      <c r="E135" s="11" t="s">
        <v>1337</v>
      </c>
      <c r="F135" s="10" t="s">
        <v>1338</v>
      </c>
      <c r="G135" s="10" t="s">
        <v>1339</v>
      </c>
      <c r="H135" s="10" t="s">
        <v>52</v>
      </c>
      <c r="I135" s="10" t="s">
        <v>115</v>
      </c>
      <c r="J135" s="10" t="s">
        <v>1194</v>
      </c>
      <c r="K135" s="10" t="s">
        <v>1340</v>
      </c>
      <c r="L135" s="12" t="s">
        <v>1341</v>
      </c>
      <c r="M135" s="12" t="s">
        <v>1342</v>
      </c>
      <c r="N135" s="12" t="s">
        <v>1343</v>
      </c>
      <c r="O135" s="12" t="s">
        <v>1344</v>
      </c>
      <c r="Q135" s="8"/>
    </row>
    <row r="136" ht="22.5" customHeight="1">
      <c r="A136" s="9">
        <v>46006.66003517361</v>
      </c>
      <c r="B136" s="10" t="s">
        <v>1269</v>
      </c>
      <c r="C136" s="11" t="s">
        <v>1270</v>
      </c>
      <c r="D136" s="10" t="s">
        <v>1271</v>
      </c>
      <c r="E136" s="11" t="s">
        <v>1272</v>
      </c>
      <c r="F136" s="10" t="s">
        <v>1345</v>
      </c>
      <c r="G136" s="10" t="s">
        <v>1345</v>
      </c>
      <c r="H136" s="10" t="s">
        <v>52</v>
      </c>
      <c r="I136" s="10" t="s">
        <v>23</v>
      </c>
      <c r="J136" s="10" t="s">
        <v>139</v>
      </c>
      <c r="K136" s="10" t="s">
        <v>1274</v>
      </c>
      <c r="L136" s="12" t="s">
        <v>1346</v>
      </c>
      <c r="M136" s="12" t="s">
        <v>1347</v>
      </c>
      <c r="N136" s="12" t="s">
        <v>1348</v>
      </c>
      <c r="O136" s="12" t="s">
        <v>1349</v>
      </c>
      <c r="Q136" s="8"/>
    </row>
    <row r="137" ht="22.5" customHeight="1">
      <c r="A137" s="9">
        <v>46008.381318796295</v>
      </c>
      <c r="B137" s="10" t="s">
        <v>1350</v>
      </c>
      <c r="C137" s="11" t="s">
        <v>1351</v>
      </c>
      <c r="D137" s="10" t="s">
        <v>1352</v>
      </c>
      <c r="E137" s="10" t="s">
        <v>1353</v>
      </c>
      <c r="F137" s="10" t="s">
        <v>1354</v>
      </c>
      <c r="G137" s="10" t="s">
        <v>1354</v>
      </c>
      <c r="H137" s="10" t="s">
        <v>22</v>
      </c>
      <c r="I137" s="10" t="s">
        <v>23</v>
      </c>
      <c r="J137" s="10" t="s">
        <v>1355</v>
      </c>
      <c r="K137" s="10" t="s">
        <v>1356</v>
      </c>
      <c r="L137" s="12" t="s">
        <v>1357</v>
      </c>
      <c r="M137" s="12" t="s">
        <v>1358</v>
      </c>
      <c r="N137" s="12" t="s">
        <v>1359</v>
      </c>
      <c r="O137" s="12" t="s">
        <v>1360</v>
      </c>
      <c r="Q137" s="8"/>
    </row>
    <row r="138" ht="22.5" customHeight="1">
      <c r="A138" s="9">
        <v>46010.31885810185</v>
      </c>
      <c r="B138" s="10" t="s">
        <v>1361</v>
      </c>
      <c r="C138" s="11" t="s">
        <v>1362</v>
      </c>
      <c r="D138" s="10" t="s">
        <v>1363</v>
      </c>
      <c r="E138" s="10" t="s">
        <v>1364</v>
      </c>
      <c r="F138" s="10" t="s">
        <v>1365</v>
      </c>
      <c r="G138" s="10" t="s">
        <v>1366</v>
      </c>
      <c r="H138" s="10" t="s">
        <v>22</v>
      </c>
      <c r="I138" s="10" t="s">
        <v>115</v>
      </c>
      <c r="J138" s="10" t="s">
        <v>348</v>
      </c>
      <c r="K138" s="10" t="s">
        <v>1367</v>
      </c>
      <c r="L138" s="12" t="s">
        <v>1368</v>
      </c>
      <c r="M138" s="12" t="s">
        <v>1369</v>
      </c>
      <c r="N138" s="12" t="s">
        <v>1370</v>
      </c>
      <c r="O138" s="12" t="s">
        <v>1371</v>
      </c>
      <c r="Q138" s="8"/>
    </row>
    <row r="139" ht="22.5" customHeight="1">
      <c r="A139" s="9">
        <v>46012.82477425926</v>
      </c>
      <c r="B139" s="10" t="s">
        <v>1017</v>
      </c>
      <c r="C139" s="11" t="s">
        <v>1018</v>
      </c>
      <c r="D139" s="10" t="s">
        <v>1019</v>
      </c>
      <c r="E139" s="11" t="s">
        <v>1020</v>
      </c>
      <c r="F139" s="10" t="s">
        <v>1372</v>
      </c>
      <c r="G139" s="10" t="s">
        <v>1373</v>
      </c>
      <c r="H139" s="10" t="s">
        <v>52</v>
      </c>
      <c r="I139" s="10" t="s">
        <v>115</v>
      </c>
      <c r="J139" s="10" t="s">
        <v>1374</v>
      </c>
      <c r="K139" s="10" t="s">
        <v>1023</v>
      </c>
      <c r="L139" s="12" t="s">
        <v>1375</v>
      </c>
      <c r="M139" s="12" t="s">
        <v>1376</v>
      </c>
      <c r="N139" s="12" t="s">
        <v>1377</v>
      </c>
      <c r="O139" s="12" t="s">
        <v>1378</v>
      </c>
      <c r="Q139" s="8"/>
    </row>
    <row r="140" ht="22.5" customHeight="1">
      <c r="A140" s="9">
        <v>46013.290646168985</v>
      </c>
      <c r="B140" s="10" t="s">
        <v>671</v>
      </c>
      <c r="C140" s="11" t="s">
        <v>672</v>
      </c>
      <c r="D140" s="10" t="s">
        <v>673</v>
      </c>
      <c r="E140" s="10" t="s">
        <v>1379</v>
      </c>
      <c r="F140" s="10" t="s">
        <v>1380</v>
      </c>
      <c r="G140" s="10" t="s">
        <v>1381</v>
      </c>
      <c r="H140" s="10" t="s">
        <v>22</v>
      </c>
      <c r="I140" s="10" t="s">
        <v>115</v>
      </c>
      <c r="J140" s="10" t="s">
        <v>64</v>
      </c>
      <c r="K140" s="10" t="s">
        <v>1382</v>
      </c>
      <c r="L140" s="12" t="s">
        <v>1383</v>
      </c>
      <c r="M140" s="12" t="s">
        <v>1384</v>
      </c>
      <c r="N140" s="12" t="s">
        <v>1385</v>
      </c>
      <c r="O140" s="12" t="s">
        <v>1386</v>
      </c>
      <c r="Q140" s="8"/>
    </row>
    <row r="141" ht="22.5" customHeight="1">
      <c r="A141" s="9">
        <v>46014.349166608794</v>
      </c>
      <c r="B141" s="10" t="s">
        <v>1387</v>
      </c>
      <c r="C141" s="11" t="s">
        <v>1388</v>
      </c>
      <c r="D141" s="10" t="s">
        <v>1389</v>
      </c>
      <c r="E141" s="10" t="s">
        <v>1390</v>
      </c>
      <c r="F141" s="10" t="s">
        <v>1391</v>
      </c>
      <c r="G141" s="10" t="s">
        <v>1391</v>
      </c>
      <c r="H141" s="10" t="s">
        <v>22</v>
      </c>
      <c r="I141" s="10" t="s">
        <v>23</v>
      </c>
      <c r="J141" s="10" t="s">
        <v>824</v>
      </c>
      <c r="K141" s="10" t="s">
        <v>1392</v>
      </c>
      <c r="M141" s="12" t="s">
        <v>1393</v>
      </c>
      <c r="N141" s="12" t="s">
        <v>1394</v>
      </c>
      <c r="O141" s="12" t="s">
        <v>1395</v>
      </c>
      <c r="Q141" s="8"/>
    </row>
    <row r="142" ht="22.5" customHeight="1">
      <c r="A142" s="9">
        <v>46020.59365015046</v>
      </c>
      <c r="B142" s="10" t="s">
        <v>1396</v>
      </c>
      <c r="C142" s="11" t="s">
        <v>1397</v>
      </c>
      <c r="D142" s="10" t="s">
        <v>1398</v>
      </c>
      <c r="E142" s="11" t="s">
        <v>1399</v>
      </c>
      <c r="F142" s="10" t="s">
        <v>1400</v>
      </c>
      <c r="G142" s="10" t="s">
        <v>1401</v>
      </c>
      <c r="H142" s="10" t="s">
        <v>22</v>
      </c>
      <c r="I142" s="10" t="s">
        <v>23</v>
      </c>
      <c r="J142" s="10" t="s">
        <v>1110</v>
      </c>
      <c r="K142" s="10" t="s">
        <v>1402</v>
      </c>
      <c r="L142" s="12" t="s">
        <v>1403</v>
      </c>
      <c r="M142" s="12" t="s">
        <v>1404</v>
      </c>
      <c r="N142" s="12" t="s">
        <v>1405</v>
      </c>
      <c r="O142" s="12" t="s">
        <v>1406</v>
      </c>
      <c r="Q142" s="8"/>
    </row>
    <row r="143" ht="22.5" customHeight="1">
      <c r="A143" s="9">
        <v>46022.345033819445</v>
      </c>
      <c r="B143" s="10" t="s">
        <v>1407</v>
      </c>
      <c r="C143" s="11" t="s">
        <v>1408</v>
      </c>
      <c r="D143" s="10" t="s">
        <v>1409</v>
      </c>
      <c r="E143" s="11" t="s">
        <v>1410</v>
      </c>
      <c r="F143" s="10" t="s">
        <v>1411</v>
      </c>
      <c r="G143" s="10" t="s">
        <v>1411</v>
      </c>
      <c r="H143" s="10" t="s">
        <v>22</v>
      </c>
      <c r="I143" s="10" t="s">
        <v>127</v>
      </c>
      <c r="J143" s="10" t="s">
        <v>1101</v>
      </c>
      <c r="K143" s="10" t="s">
        <v>1412</v>
      </c>
      <c r="M143" s="12" t="s">
        <v>1413</v>
      </c>
      <c r="N143" s="12" t="s">
        <v>1414</v>
      </c>
      <c r="O143" s="12" t="s">
        <v>1415</v>
      </c>
      <c r="Q143" s="8"/>
    </row>
    <row r="144" ht="22.5" customHeight="1">
      <c r="A144" s="9">
        <v>46027.79607002315</v>
      </c>
      <c r="B144" s="10" t="s">
        <v>1416</v>
      </c>
      <c r="C144" s="11" t="s">
        <v>1417</v>
      </c>
      <c r="D144" s="10" t="s">
        <v>1418</v>
      </c>
      <c r="E144" s="11" t="s">
        <v>1419</v>
      </c>
      <c r="F144" s="10" t="s">
        <v>1420</v>
      </c>
      <c r="G144" s="10" t="s">
        <v>1420</v>
      </c>
      <c r="H144" s="10" t="s">
        <v>52</v>
      </c>
      <c r="I144" s="10" t="s">
        <v>127</v>
      </c>
      <c r="J144" s="10" t="s">
        <v>763</v>
      </c>
      <c r="K144" s="10" t="s">
        <v>1421</v>
      </c>
      <c r="L144" s="12" t="s">
        <v>1422</v>
      </c>
      <c r="M144" s="12" t="s">
        <v>1423</v>
      </c>
      <c r="N144" s="12" t="s">
        <v>1424</v>
      </c>
      <c r="O144" s="12" t="s">
        <v>1425</v>
      </c>
      <c r="Q144" s="8"/>
    </row>
    <row r="145" ht="22.5" customHeight="1">
      <c r="A145" s="9">
        <v>46028.55936119213</v>
      </c>
      <c r="B145" s="10" t="s">
        <v>1426</v>
      </c>
      <c r="C145" s="11" t="s">
        <v>1427</v>
      </c>
      <c r="D145" s="10" t="s">
        <v>1428</v>
      </c>
      <c r="E145" s="10" t="s">
        <v>1429</v>
      </c>
      <c r="F145" s="10" t="s">
        <v>1430</v>
      </c>
      <c r="G145" s="10" t="s">
        <v>1430</v>
      </c>
      <c r="H145" s="10" t="s">
        <v>22</v>
      </c>
      <c r="I145" s="10" t="s">
        <v>127</v>
      </c>
      <c r="J145" s="10" t="s">
        <v>304</v>
      </c>
      <c r="K145" s="10" t="s">
        <v>1431</v>
      </c>
      <c r="L145" s="12" t="s">
        <v>1432</v>
      </c>
      <c r="M145" s="12" t="s">
        <v>1433</v>
      </c>
      <c r="N145" s="12" t="s">
        <v>1434</v>
      </c>
      <c r="O145" s="12" t="s">
        <v>1435</v>
      </c>
      <c r="Q145" s="8"/>
    </row>
    <row r="146" ht="22.5" customHeight="1">
      <c r="A146" s="9">
        <v>46028.79017363426</v>
      </c>
      <c r="B146" s="10" t="s">
        <v>1053</v>
      </c>
      <c r="C146" s="11" t="s">
        <v>277</v>
      </c>
      <c r="D146" s="10" t="s">
        <v>278</v>
      </c>
      <c r="E146" s="11" t="s">
        <v>279</v>
      </c>
      <c r="F146" s="10" t="s">
        <v>1436</v>
      </c>
      <c r="G146" s="10" t="s">
        <v>1436</v>
      </c>
      <c r="H146" s="10" t="s">
        <v>52</v>
      </c>
      <c r="I146" s="10" t="s">
        <v>127</v>
      </c>
      <c r="J146" s="10" t="s">
        <v>64</v>
      </c>
      <c r="K146" s="10" t="s">
        <v>1437</v>
      </c>
      <c r="L146" s="12" t="s">
        <v>1438</v>
      </c>
      <c r="M146" s="12" t="s">
        <v>1439</v>
      </c>
      <c r="N146" s="12" t="s">
        <v>1440</v>
      </c>
      <c r="O146" s="12" t="s">
        <v>1441</v>
      </c>
      <c r="Q146" s="8"/>
    </row>
    <row r="147" ht="22.5" customHeight="1">
      <c r="A147" s="9">
        <v>46028.845255486114</v>
      </c>
      <c r="B147" s="10" t="s">
        <v>1442</v>
      </c>
      <c r="C147" s="10" t="s">
        <v>1443</v>
      </c>
      <c r="D147" s="10" t="s">
        <v>1444</v>
      </c>
      <c r="E147" s="10" t="s">
        <v>1445</v>
      </c>
      <c r="F147" s="10" t="s">
        <v>1446</v>
      </c>
      <c r="G147" s="10" t="s">
        <v>1446</v>
      </c>
      <c r="H147" s="10" t="s">
        <v>52</v>
      </c>
      <c r="I147" s="10" t="s">
        <v>23</v>
      </c>
      <c r="J147" s="10" t="s">
        <v>304</v>
      </c>
      <c r="K147" s="10" t="s">
        <v>1447</v>
      </c>
      <c r="M147" s="12" t="s">
        <v>1448</v>
      </c>
      <c r="N147" s="12" t="s">
        <v>1449</v>
      </c>
      <c r="O147" s="12" t="s">
        <v>1450</v>
      </c>
      <c r="Q147" s="8"/>
    </row>
    <row r="148" ht="22.5" customHeight="1">
      <c r="A148" s="9">
        <v>46029.47935721064</v>
      </c>
      <c r="B148" s="10" t="s">
        <v>1451</v>
      </c>
      <c r="C148" s="11" t="s">
        <v>1452</v>
      </c>
      <c r="D148" s="10" t="s">
        <v>1453</v>
      </c>
      <c r="E148" s="11" t="s">
        <v>1454</v>
      </c>
      <c r="F148" s="10" t="s">
        <v>1455</v>
      </c>
      <c r="G148" s="10" t="s">
        <v>1455</v>
      </c>
      <c r="H148" s="10" t="s">
        <v>52</v>
      </c>
      <c r="I148" s="10" t="s">
        <v>127</v>
      </c>
      <c r="J148" s="10" t="s">
        <v>104</v>
      </c>
      <c r="K148" s="10" t="s">
        <v>1456</v>
      </c>
      <c r="L148" s="12" t="s">
        <v>1457</v>
      </c>
      <c r="M148" s="12" t="s">
        <v>1458</v>
      </c>
      <c r="N148" s="12" t="s">
        <v>1459</v>
      </c>
      <c r="O148" s="12" t="s">
        <v>1460</v>
      </c>
      <c r="Q148" s="8"/>
    </row>
    <row r="149" ht="22.5" customHeight="1">
      <c r="A149" s="9">
        <v>46032.884149930556</v>
      </c>
      <c r="B149" s="10" t="s">
        <v>1461</v>
      </c>
      <c r="C149" s="11" t="s">
        <v>1462</v>
      </c>
      <c r="D149" s="10" t="s">
        <v>1463</v>
      </c>
      <c r="E149" s="10" t="s">
        <v>1464</v>
      </c>
      <c r="F149" s="10" t="s">
        <v>1465</v>
      </c>
      <c r="G149" s="10" t="s">
        <v>1465</v>
      </c>
      <c r="H149" s="10" t="s">
        <v>52</v>
      </c>
      <c r="I149" s="10" t="s">
        <v>23</v>
      </c>
      <c r="J149" s="10" t="s">
        <v>792</v>
      </c>
      <c r="K149" s="10" t="s">
        <v>1466</v>
      </c>
      <c r="L149" s="12" t="s">
        <v>1467</v>
      </c>
      <c r="M149" s="12" t="s">
        <v>1468</v>
      </c>
      <c r="N149" s="12" t="s">
        <v>1469</v>
      </c>
      <c r="O149" s="12" t="s">
        <v>1470</v>
      </c>
      <c r="Q149" s="8"/>
    </row>
    <row r="150" ht="22.5" customHeight="1">
      <c r="A150" s="9">
        <v>46035.393495219905</v>
      </c>
      <c r="B150" s="10" t="s">
        <v>1471</v>
      </c>
      <c r="C150" s="11" t="s">
        <v>1472</v>
      </c>
      <c r="D150" s="10" t="s">
        <v>1473</v>
      </c>
      <c r="E150" s="11" t="s">
        <v>1474</v>
      </c>
      <c r="F150" s="10" t="s">
        <v>1475</v>
      </c>
      <c r="G150" s="10" t="s">
        <v>1475</v>
      </c>
      <c r="H150" s="10" t="s">
        <v>52</v>
      </c>
      <c r="I150" s="10" t="s">
        <v>115</v>
      </c>
      <c r="J150" s="10" t="s">
        <v>104</v>
      </c>
      <c r="K150" s="10" t="s">
        <v>1476</v>
      </c>
      <c r="L150" s="12" t="s">
        <v>1477</v>
      </c>
      <c r="M150" s="12" t="s">
        <v>1478</v>
      </c>
      <c r="N150" s="12" t="s">
        <v>1479</v>
      </c>
      <c r="O150" s="12" t="s">
        <v>1480</v>
      </c>
      <c r="Q150" s="8"/>
    </row>
    <row r="151" ht="22.5" customHeight="1">
      <c r="A151" s="9">
        <v>46037.37755481481</v>
      </c>
      <c r="B151" s="10" t="s">
        <v>1481</v>
      </c>
      <c r="C151" s="11" t="s">
        <v>1482</v>
      </c>
      <c r="D151" s="10" t="s">
        <v>1483</v>
      </c>
      <c r="E151" s="11" t="s">
        <v>1484</v>
      </c>
      <c r="F151" s="10" t="s">
        <v>1485</v>
      </c>
      <c r="G151" s="10" t="s">
        <v>1485</v>
      </c>
      <c r="H151" s="10" t="s">
        <v>22</v>
      </c>
      <c r="I151" s="10" t="s">
        <v>127</v>
      </c>
      <c r="J151" s="10" t="s">
        <v>1486</v>
      </c>
      <c r="K151" s="10" t="s">
        <v>1487</v>
      </c>
      <c r="L151" s="12" t="s">
        <v>1488</v>
      </c>
      <c r="M151" s="12" t="s">
        <v>1489</v>
      </c>
      <c r="N151" s="12" t="s">
        <v>1490</v>
      </c>
      <c r="O151" s="12" t="s">
        <v>1491</v>
      </c>
      <c r="Q151" s="8"/>
    </row>
    <row r="152" ht="22.5" customHeight="1">
      <c r="A152" s="9">
        <v>46037.50347122685</v>
      </c>
      <c r="B152" s="10" t="s">
        <v>1492</v>
      </c>
      <c r="C152" s="11" t="s">
        <v>1493</v>
      </c>
      <c r="D152" s="10" t="s">
        <v>1494</v>
      </c>
      <c r="E152" s="11" t="s">
        <v>1495</v>
      </c>
      <c r="F152" s="10" t="s">
        <v>1496</v>
      </c>
      <c r="G152" s="10" t="s">
        <v>1496</v>
      </c>
      <c r="H152" s="10" t="s">
        <v>52</v>
      </c>
      <c r="I152" s="10" t="s">
        <v>115</v>
      </c>
      <c r="J152" s="10" t="s">
        <v>1497</v>
      </c>
      <c r="K152" s="10" t="s">
        <v>1498</v>
      </c>
      <c r="L152" s="12" t="s">
        <v>1499</v>
      </c>
      <c r="M152" s="12" t="s">
        <v>1500</v>
      </c>
      <c r="N152" s="12" t="s">
        <v>1501</v>
      </c>
      <c r="O152" s="12" t="s">
        <v>1502</v>
      </c>
      <c r="Q152" s="8"/>
    </row>
    <row r="153" ht="22.5" customHeight="1">
      <c r="A153" s="9">
        <v>46037.71879373843</v>
      </c>
      <c r="B153" s="10" t="s">
        <v>1503</v>
      </c>
      <c r="C153" s="11" t="s">
        <v>1504</v>
      </c>
      <c r="D153" s="10" t="s">
        <v>1505</v>
      </c>
      <c r="E153" s="11" t="s">
        <v>1506</v>
      </c>
      <c r="F153" s="10" t="s">
        <v>1507</v>
      </c>
      <c r="G153" s="10" t="s">
        <v>1507</v>
      </c>
      <c r="H153" s="10" t="s">
        <v>22</v>
      </c>
      <c r="I153" s="10" t="s">
        <v>23</v>
      </c>
      <c r="J153" s="10" t="s">
        <v>1508</v>
      </c>
      <c r="K153" s="10" t="s">
        <v>1509</v>
      </c>
      <c r="L153" s="12" t="s">
        <v>1510</v>
      </c>
      <c r="M153" s="12" t="s">
        <v>1511</v>
      </c>
      <c r="N153" s="12" t="s">
        <v>1512</v>
      </c>
      <c r="O153" s="12" t="s">
        <v>1513</v>
      </c>
      <c r="Q153" s="8"/>
    </row>
    <row r="154" ht="22.5" customHeight="1">
      <c r="A154" s="9">
        <v>46037.76686366898</v>
      </c>
      <c r="B154" s="10" t="s">
        <v>1514</v>
      </c>
      <c r="C154" s="11" t="s">
        <v>1515</v>
      </c>
      <c r="D154" s="10" t="s">
        <v>1516</v>
      </c>
      <c r="E154" s="11" t="s">
        <v>1517</v>
      </c>
      <c r="F154" s="10" t="s">
        <v>411</v>
      </c>
      <c r="G154" s="10" t="s">
        <v>1518</v>
      </c>
      <c r="H154" s="10" t="s">
        <v>52</v>
      </c>
      <c r="I154" s="10" t="s">
        <v>23</v>
      </c>
      <c r="J154" s="10" t="s">
        <v>1110</v>
      </c>
      <c r="K154" s="10" t="s">
        <v>1519</v>
      </c>
      <c r="M154" s="12" t="s">
        <v>1520</v>
      </c>
      <c r="N154" s="12" t="s">
        <v>1521</v>
      </c>
      <c r="O154" s="12" t="s">
        <v>1522</v>
      </c>
      <c r="Q154" s="8"/>
    </row>
    <row r="155" ht="22.5" customHeight="1">
      <c r="A155" s="9">
        <v>46038.37963092593</v>
      </c>
      <c r="B155" s="10" t="s">
        <v>749</v>
      </c>
      <c r="C155" s="10">
        <v>6.281808517878E12</v>
      </c>
      <c r="D155" s="10" t="s">
        <v>750</v>
      </c>
      <c r="E155" s="10">
        <v>6.287838810113E12</v>
      </c>
      <c r="F155" s="10" t="s">
        <v>751</v>
      </c>
      <c r="G155" s="10" t="s">
        <v>751</v>
      </c>
      <c r="H155" s="10" t="s">
        <v>52</v>
      </c>
      <c r="I155" s="10" t="s">
        <v>23</v>
      </c>
      <c r="J155" s="10" t="s">
        <v>1523</v>
      </c>
      <c r="K155" s="10" t="s">
        <v>753</v>
      </c>
      <c r="L155" s="12" t="s">
        <v>1524</v>
      </c>
      <c r="M155" s="12" t="s">
        <v>1525</v>
      </c>
      <c r="N155" s="12" t="s">
        <v>1526</v>
      </c>
      <c r="O155" s="12" t="s">
        <v>1527</v>
      </c>
      <c r="Q155" s="8"/>
    </row>
    <row r="156" ht="22.5" customHeight="1">
      <c r="A156" s="9">
        <v>46038.80379131944</v>
      </c>
      <c r="B156" s="10" t="s">
        <v>1528</v>
      </c>
      <c r="C156" s="11" t="s">
        <v>1529</v>
      </c>
      <c r="D156" s="10" t="s">
        <v>1530</v>
      </c>
      <c r="E156" s="11" t="s">
        <v>1531</v>
      </c>
      <c r="F156" s="10" t="s">
        <v>1532</v>
      </c>
      <c r="G156" s="10" t="s">
        <v>1533</v>
      </c>
      <c r="H156" s="10" t="s">
        <v>52</v>
      </c>
      <c r="I156" s="10" t="s">
        <v>23</v>
      </c>
      <c r="J156" s="10" t="s">
        <v>1534</v>
      </c>
      <c r="K156" s="10" t="s">
        <v>1535</v>
      </c>
      <c r="L156" s="12" t="s">
        <v>1536</v>
      </c>
      <c r="M156" s="12" t="s">
        <v>1537</v>
      </c>
      <c r="N156" s="12" t="s">
        <v>1538</v>
      </c>
      <c r="O156" s="12" t="s">
        <v>1539</v>
      </c>
      <c r="Q156" s="8"/>
    </row>
    <row r="157" ht="22.5" customHeight="1">
      <c r="A157" s="9">
        <v>46044.58369501158</v>
      </c>
      <c r="B157" s="10" t="s">
        <v>1540</v>
      </c>
      <c r="C157" s="11" t="s">
        <v>1541</v>
      </c>
      <c r="D157" s="10" t="s">
        <v>1542</v>
      </c>
      <c r="E157" s="11" t="s">
        <v>1543</v>
      </c>
      <c r="F157" s="10" t="s">
        <v>1544</v>
      </c>
      <c r="G157" s="10" t="s">
        <v>1544</v>
      </c>
      <c r="H157" s="10" t="s">
        <v>52</v>
      </c>
      <c r="I157" s="10" t="s">
        <v>127</v>
      </c>
      <c r="J157" s="10" t="s">
        <v>64</v>
      </c>
      <c r="K157" s="10" t="s">
        <v>1545</v>
      </c>
      <c r="L157" s="12" t="s">
        <v>1546</v>
      </c>
      <c r="M157" s="12" t="s">
        <v>1547</v>
      </c>
      <c r="N157" s="12" t="s">
        <v>1548</v>
      </c>
      <c r="O157" s="17" t="s">
        <v>1549</v>
      </c>
      <c r="Q157" s="8"/>
    </row>
    <row r="158" ht="22.5" customHeight="1">
      <c r="A158" s="9">
        <v>46045.64067208333</v>
      </c>
      <c r="B158" s="10" t="s">
        <v>1550</v>
      </c>
      <c r="C158" s="11" t="s">
        <v>1551</v>
      </c>
      <c r="D158" s="10" t="s">
        <v>1552</v>
      </c>
      <c r="E158" s="11" t="s">
        <v>1553</v>
      </c>
      <c r="F158" s="10" t="s">
        <v>1554</v>
      </c>
      <c r="G158" s="10" t="s">
        <v>1554</v>
      </c>
      <c r="H158" s="10" t="s">
        <v>52</v>
      </c>
      <c r="I158" s="10" t="s">
        <v>115</v>
      </c>
      <c r="J158" s="10" t="s">
        <v>1555</v>
      </c>
      <c r="K158" s="10" t="s">
        <v>1556</v>
      </c>
      <c r="M158" s="12" t="s">
        <v>1557</v>
      </c>
      <c r="N158" s="12" t="s">
        <v>1558</v>
      </c>
      <c r="O158" s="12" t="s">
        <v>1559</v>
      </c>
      <c r="Q158" s="8"/>
    </row>
    <row r="159" ht="22.5" customHeight="1">
      <c r="A159" s="9">
        <v>46051.52520631945</v>
      </c>
      <c r="B159" s="10" t="s">
        <v>1560</v>
      </c>
      <c r="C159" s="11" t="s">
        <v>1561</v>
      </c>
      <c r="D159" s="10" t="s">
        <v>1562</v>
      </c>
      <c r="E159" s="11" t="s">
        <v>1563</v>
      </c>
      <c r="F159" s="10" t="s">
        <v>1564</v>
      </c>
      <c r="G159" s="10" t="s">
        <v>1564</v>
      </c>
      <c r="H159" s="10" t="s">
        <v>52</v>
      </c>
      <c r="I159" s="10" t="s">
        <v>115</v>
      </c>
      <c r="J159" s="10" t="s">
        <v>1101</v>
      </c>
      <c r="K159" s="10" t="s">
        <v>1565</v>
      </c>
      <c r="M159" s="12" t="s">
        <v>1566</v>
      </c>
      <c r="N159" s="12" t="s">
        <v>1567</v>
      </c>
      <c r="O159" s="12" t="s">
        <v>1568</v>
      </c>
      <c r="Q159" s="8"/>
    </row>
    <row r="160" ht="22.5" customHeight="1">
      <c r="A160" s="9">
        <v>46053.78248337963</v>
      </c>
      <c r="B160" s="10" t="s">
        <v>1569</v>
      </c>
      <c r="C160" s="11" t="s">
        <v>1570</v>
      </c>
      <c r="D160" s="10" t="s">
        <v>1571</v>
      </c>
      <c r="E160" s="11" t="s">
        <v>1572</v>
      </c>
      <c r="F160" s="10" t="s">
        <v>1573</v>
      </c>
      <c r="G160" s="10" t="s">
        <v>1573</v>
      </c>
      <c r="H160" s="10" t="s">
        <v>52</v>
      </c>
      <c r="I160" s="10" t="s">
        <v>23</v>
      </c>
      <c r="J160" s="10" t="s">
        <v>1574</v>
      </c>
      <c r="K160" s="10" t="s">
        <v>1575</v>
      </c>
      <c r="M160" s="12" t="s">
        <v>1576</v>
      </c>
      <c r="N160" s="12" t="s">
        <v>1577</v>
      </c>
      <c r="O160" s="12" t="s">
        <v>1578</v>
      </c>
      <c r="Q160" s="8"/>
    </row>
    <row r="161" ht="22.5" customHeight="1">
      <c r="A161" s="9">
        <v>46055.42825016203</v>
      </c>
      <c r="B161" s="10" t="s">
        <v>1579</v>
      </c>
      <c r="C161" s="11" t="s">
        <v>1580</v>
      </c>
      <c r="D161" s="10" t="s">
        <v>1581</v>
      </c>
      <c r="E161" s="11" t="s">
        <v>1582</v>
      </c>
      <c r="F161" s="10" t="s">
        <v>1583</v>
      </c>
      <c r="G161" s="10" t="s">
        <v>1584</v>
      </c>
      <c r="H161" s="10" t="s">
        <v>22</v>
      </c>
      <c r="I161" s="10" t="s">
        <v>127</v>
      </c>
      <c r="J161" s="10" t="s">
        <v>304</v>
      </c>
      <c r="K161" s="10" t="s">
        <v>1585</v>
      </c>
      <c r="L161" s="12" t="s">
        <v>1586</v>
      </c>
      <c r="M161" s="12" t="s">
        <v>1587</v>
      </c>
      <c r="N161" s="12" t="s">
        <v>1588</v>
      </c>
      <c r="O161" s="12" t="s">
        <v>1589</v>
      </c>
      <c r="P161" s="6" t="s">
        <v>1590</v>
      </c>
    </row>
    <row r="162" ht="22.5" customHeight="1">
      <c r="A162" s="9">
        <v>46055.493346655094</v>
      </c>
      <c r="B162" s="10" t="s">
        <v>1591</v>
      </c>
      <c r="C162" s="11" t="s">
        <v>1592</v>
      </c>
      <c r="D162" s="10" t="s">
        <v>1593</v>
      </c>
      <c r="E162" s="10">
        <v>6.282186629146E12</v>
      </c>
      <c r="F162" s="10" t="s">
        <v>1594</v>
      </c>
      <c r="G162" s="10" t="s">
        <v>1595</v>
      </c>
      <c r="H162" s="10" t="s">
        <v>52</v>
      </c>
      <c r="I162" s="10" t="s">
        <v>115</v>
      </c>
      <c r="J162" s="10" t="s">
        <v>1596</v>
      </c>
      <c r="K162" s="10" t="s">
        <v>1597</v>
      </c>
      <c r="L162" s="12" t="s">
        <v>1598</v>
      </c>
      <c r="M162" s="12" t="s">
        <v>1599</v>
      </c>
      <c r="N162" s="12" t="s">
        <v>1600</v>
      </c>
      <c r="O162" s="12" t="s">
        <v>1601</v>
      </c>
    </row>
    <row r="163" ht="22.5" customHeight="1">
      <c r="A163" s="9">
        <v>46055.51281006944</v>
      </c>
      <c r="B163" s="10" t="s">
        <v>1602</v>
      </c>
      <c r="C163" s="10">
        <v>8.1213773687E10</v>
      </c>
      <c r="D163" s="10" t="s">
        <v>1603</v>
      </c>
      <c r="E163" s="11" t="s">
        <v>1604</v>
      </c>
      <c r="F163" s="10" t="s">
        <v>1605</v>
      </c>
      <c r="G163" s="10" t="s">
        <v>1605</v>
      </c>
      <c r="H163" s="10" t="s">
        <v>22</v>
      </c>
      <c r="I163" s="10" t="s">
        <v>127</v>
      </c>
      <c r="J163" s="10" t="s">
        <v>1596</v>
      </c>
      <c r="K163" s="10" t="s">
        <v>1606</v>
      </c>
      <c r="L163" s="12" t="s">
        <v>1607</v>
      </c>
      <c r="M163" s="12" t="s">
        <v>1608</v>
      </c>
      <c r="N163" s="12" t="s">
        <v>1609</v>
      </c>
      <c r="O163" s="12" t="s">
        <v>1610</v>
      </c>
    </row>
    <row r="164" ht="22.5" customHeight="1">
      <c r="A164" s="9">
        <v>46056.44752071759</v>
      </c>
      <c r="B164" s="10" t="s">
        <v>1611</v>
      </c>
      <c r="C164" s="11" t="s">
        <v>1612</v>
      </c>
      <c r="D164" s="10" t="s">
        <v>1613</v>
      </c>
      <c r="E164" s="11" t="s">
        <v>1614</v>
      </c>
      <c r="F164" s="10" t="s">
        <v>1615</v>
      </c>
      <c r="G164" s="10" t="s">
        <v>1616</v>
      </c>
      <c r="H164" s="10" t="s">
        <v>22</v>
      </c>
      <c r="I164" s="10" t="s">
        <v>115</v>
      </c>
      <c r="J164" s="10" t="s">
        <v>104</v>
      </c>
      <c r="K164" s="10" t="s">
        <v>1617</v>
      </c>
      <c r="L164" s="12" t="s">
        <v>1618</v>
      </c>
      <c r="M164" s="12" t="s">
        <v>1619</v>
      </c>
      <c r="N164" s="12" t="s">
        <v>1620</v>
      </c>
      <c r="O164" s="12" t="s">
        <v>1621</v>
      </c>
    </row>
    <row r="165" ht="22.5" customHeight="1">
      <c r="A165" s="9">
        <v>46056.451759247684</v>
      </c>
      <c r="B165" s="10" t="s">
        <v>1611</v>
      </c>
      <c r="C165" s="11" t="s">
        <v>1612</v>
      </c>
      <c r="D165" s="10" t="s">
        <v>1613</v>
      </c>
      <c r="E165" s="10" t="s">
        <v>1622</v>
      </c>
      <c r="F165" s="10" t="s">
        <v>1615</v>
      </c>
      <c r="G165" s="10" t="s">
        <v>1623</v>
      </c>
      <c r="H165" s="10" t="s">
        <v>22</v>
      </c>
      <c r="I165" s="10" t="s">
        <v>115</v>
      </c>
      <c r="J165" s="10" t="s">
        <v>1624</v>
      </c>
      <c r="K165" s="10" t="s">
        <v>1625</v>
      </c>
      <c r="L165" s="12" t="s">
        <v>1626</v>
      </c>
      <c r="M165" s="12" t="s">
        <v>1627</v>
      </c>
      <c r="N165" s="12" t="s">
        <v>1628</v>
      </c>
      <c r="O165" s="12" t="s">
        <v>1629</v>
      </c>
    </row>
    <row r="166" ht="22.5" customHeight="1">
      <c r="A166" s="9">
        <v>46056.71707508102</v>
      </c>
      <c r="B166" s="10" t="s">
        <v>1630</v>
      </c>
      <c r="C166" s="11" t="s">
        <v>1631</v>
      </c>
      <c r="D166" s="10" t="s">
        <v>1632</v>
      </c>
      <c r="E166" s="10" t="s">
        <v>1633</v>
      </c>
      <c r="F166" s="10" t="s">
        <v>1634</v>
      </c>
      <c r="G166" s="10" t="s">
        <v>1635</v>
      </c>
      <c r="H166" s="10" t="s">
        <v>22</v>
      </c>
      <c r="I166" s="10" t="s">
        <v>127</v>
      </c>
      <c r="J166" s="10" t="s">
        <v>1636</v>
      </c>
      <c r="K166" s="10" t="s">
        <v>1637</v>
      </c>
      <c r="L166" s="12" t="s">
        <v>1638</v>
      </c>
      <c r="M166" s="12" t="s">
        <v>1639</v>
      </c>
      <c r="N166" s="12" t="s">
        <v>1640</v>
      </c>
      <c r="O166" s="12" t="s">
        <v>1641</v>
      </c>
    </row>
    <row r="167" ht="22.5" customHeight="1">
      <c r="A167" s="9">
        <v>46060.71527376157</v>
      </c>
      <c r="B167" s="10" t="s">
        <v>1642</v>
      </c>
      <c r="C167" s="11" t="s">
        <v>1643</v>
      </c>
      <c r="D167" s="10" t="s">
        <v>1644</v>
      </c>
      <c r="E167" s="11" t="s">
        <v>1645</v>
      </c>
      <c r="F167" s="10" t="s">
        <v>1646</v>
      </c>
      <c r="G167" s="10" t="s">
        <v>1646</v>
      </c>
      <c r="H167" s="10" t="s">
        <v>52</v>
      </c>
      <c r="I167" s="10" t="s">
        <v>23</v>
      </c>
      <c r="J167" s="10" t="s">
        <v>24</v>
      </c>
      <c r="K167" s="10" t="s">
        <v>1647</v>
      </c>
      <c r="L167" s="12" t="s">
        <v>1648</v>
      </c>
      <c r="M167" s="12" t="s">
        <v>1649</v>
      </c>
      <c r="N167" s="12" t="s">
        <v>1650</v>
      </c>
      <c r="O167" s="12" t="s">
        <v>1651</v>
      </c>
    </row>
    <row r="168" ht="22.5" customHeight="1">
      <c r="A168" s="9">
        <v>46060.908754675926</v>
      </c>
      <c r="B168" s="10" t="s">
        <v>1528</v>
      </c>
      <c r="C168" s="11" t="s">
        <v>1652</v>
      </c>
      <c r="D168" s="10" t="s">
        <v>1530</v>
      </c>
      <c r="E168" s="11" t="s">
        <v>1531</v>
      </c>
      <c r="F168" s="10" t="s">
        <v>1653</v>
      </c>
      <c r="G168" s="10" t="s">
        <v>1653</v>
      </c>
      <c r="H168" s="10" t="s">
        <v>52</v>
      </c>
      <c r="I168" s="10" t="s">
        <v>127</v>
      </c>
      <c r="J168" s="10" t="s">
        <v>104</v>
      </c>
      <c r="K168" s="10" t="s">
        <v>1535</v>
      </c>
      <c r="M168" s="12" t="s">
        <v>1654</v>
      </c>
      <c r="N168" s="12" t="s">
        <v>1655</v>
      </c>
      <c r="O168" s="12" t="s">
        <v>1656</v>
      </c>
    </row>
    <row r="169" ht="22.5" customHeight="1">
      <c r="A169" s="9">
        <v>46061.73575209491</v>
      </c>
      <c r="B169" s="10" t="s">
        <v>1657</v>
      </c>
      <c r="C169" s="11" t="s">
        <v>1658</v>
      </c>
      <c r="D169" s="10" t="s">
        <v>1659</v>
      </c>
      <c r="E169" s="11" t="s">
        <v>1660</v>
      </c>
      <c r="F169" s="10" t="s">
        <v>1661</v>
      </c>
      <c r="G169" s="10" t="s">
        <v>1661</v>
      </c>
      <c r="H169" s="10" t="s">
        <v>52</v>
      </c>
      <c r="I169" s="10" t="s">
        <v>127</v>
      </c>
      <c r="J169" s="10" t="s">
        <v>1041</v>
      </c>
      <c r="K169" s="10" t="s">
        <v>1662</v>
      </c>
      <c r="L169" s="12" t="s">
        <v>1663</v>
      </c>
      <c r="M169" s="12" t="s">
        <v>1664</v>
      </c>
      <c r="N169" s="12" t="s">
        <v>1665</v>
      </c>
      <c r="O169" s="12" t="s">
        <v>1666</v>
      </c>
    </row>
    <row r="170" ht="22.5" customHeight="1">
      <c r="A170" s="9">
        <v>46062.637027164354</v>
      </c>
      <c r="B170" s="10" t="s">
        <v>1667</v>
      </c>
      <c r="C170" s="11" t="s">
        <v>1668</v>
      </c>
      <c r="D170" s="10" t="s">
        <v>1669</v>
      </c>
      <c r="E170" s="11" t="s">
        <v>1670</v>
      </c>
      <c r="F170" s="10" t="s">
        <v>411</v>
      </c>
      <c r="G170" s="10" t="s">
        <v>1671</v>
      </c>
      <c r="H170" s="10" t="s">
        <v>52</v>
      </c>
      <c r="I170" s="10" t="s">
        <v>23</v>
      </c>
      <c r="J170" s="10" t="s">
        <v>304</v>
      </c>
      <c r="K170" s="10" t="s">
        <v>1672</v>
      </c>
      <c r="M170" s="12" t="s">
        <v>1673</v>
      </c>
      <c r="N170" s="12" t="s">
        <v>1674</v>
      </c>
      <c r="O170" s="12" t="s">
        <v>1675</v>
      </c>
    </row>
    <row r="171" ht="22.5" customHeight="1">
      <c r="A171" s="9">
        <v>46062.76769623843</v>
      </c>
      <c r="B171" s="10" t="s">
        <v>321</v>
      </c>
      <c r="C171" s="11" t="s">
        <v>322</v>
      </c>
      <c r="D171" s="10" t="s">
        <v>323</v>
      </c>
      <c r="E171" s="11" t="s">
        <v>324</v>
      </c>
      <c r="F171" s="10" t="s">
        <v>1676</v>
      </c>
      <c r="G171" s="10" t="s">
        <v>1677</v>
      </c>
      <c r="H171" s="10" t="s">
        <v>52</v>
      </c>
      <c r="I171" s="10" t="s">
        <v>23</v>
      </c>
      <c r="J171" s="10" t="s">
        <v>205</v>
      </c>
      <c r="K171" s="10" t="s">
        <v>327</v>
      </c>
      <c r="L171" s="12" t="s">
        <v>1678</v>
      </c>
      <c r="M171" s="12" t="s">
        <v>1679</v>
      </c>
      <c r="N171" s="12" t="s">
        <v>1680</v>
      </c>
      <c r="O171" s="12" t="s">
        <v>1681</v>
      </c>
    </row>
    <row r="172" ht="22.5" customHeight="1">
      <c r="A172" s="9">
        <v>46063.47285020833</v>
      </c>
      <c r="B172" s="10" t="s">
        <v>1682</v>
      </c>
      <c r="C172" s="11" t="s">
        <v>1683</v>
      </c>
      <c r="D172" s="10" t="s">
        <v>1684</v>
      </c>
      <c r="E172" s="11" t="s">
        <v>1685</v>
      </c>
      <c r="F172" s="10" t="s">
        <v>1686</v>
      </c>
      <c r="G172" s="10" t="s">
        <v>1687</v>
      </c>
      <c r="H172" s="10" t="s">
        <v>22</v>
      </c>
      <c r="I172" s="10" t="s">
        <v>127</v>
      </c>
      <c r="J172" s="10" t="s">
        <v>1688</v>
      </c>
      <c r="K172" s="10" t="s">
        <v>1689</v>
      </c>
      <c r="L172" s="12" t="s">
        <v>1690</v>
      </c>
      <c r="M172" s="12" t="s">
        <v>1691</v>
      </c>
      <c r="N172" s="12" t="s">
        <v>1692</v>
      </c>
      <c r="O172" s="12" t="s">
        <v>1693</v>
      </c>
    </row>
    <row r="173" ht="22.5" customHeight="1">
      <c r="A173" s="9">
        <v>46063.55113552083</v>
      </c>
      <c r="B173" s="10" t="s">
        <v>1694</v>
      </c>
      <c r="C173" s="11" t="s">
        <v>1695</v>
      </c>
      <c r="D173" s="10" t="s">
        <v>1696</v>
      </c>
      <c r="E173" s="11" t="s">
        <v>1697</v>
      </c>
      <c r="F173" s="10" t="s">
        <v>1698</v>
      </c>
      <c r="G173" s="10" t="s">
        <v>1698</v>
      </c>
      <c r="H173" s="10" t="s">
        <v>52</v>
      </c>
      <c r="I173" s="10" t="s">
        <v>127</v>
      </c>
      <c r="J173" s="10" t="s">
        <v>139</v>
      </c>
      <c r="K173" s="10" t="s">
        <v>1699</v>
      </c>
      <c r="L173" s="12" t="s">
        <v>1700</v>
      </c>
      <c r="M173" s="12" t="s">
        <v>1701</v>
      </c>
      <c r="N173" s="12" t="s">
        <v>1702</v>
      </c>
      <c r="O173" s="12" t="s">
        <v>1703</v>
      </c>
    </row>
    <row r="174" ht="22.5" customHeight="1">
      <c r="A174" s="9">
        <v>46064.36526670139</v>
      </c>
      <c r="B174" s="10" t="s">
        <v>1704</v>
      </c>
      <c r="C174" s="11" t="s">
        <v>1705</v>
      </c>
      <c r="D174" s="10" t="s">
        <v>1706</v>
      </c>
      <c r="E174" s="10" t="s">
        <v>1707</v>
      </c>
      <c r="F174" s="10" t="s">
        <v>1708</v>
      </c>
      <c r="G174" s="10" t="s">
        <v>1709</v>
      </c>
      <c r="H174" s="10" t="s">
        <v>22</v>
      </c>
      <c r="I174" s="10" t="s">
        <v>115</v>
      </c>
      <c r="J174" s="10" t="s">
        <v>1710</v>
      </c>
      <c r="K174" s="10" t="s">
        <v>1711</v>
      </c>
      <c r="L174" s="12" t="s">
        <v>1712</v>
      </c>
      <c r="M174" s="12" t="s">
        <v>1713</v>
      </c>
      <c r="N174" s="12" t="s">
        <v>1714</v>
      </c>
      <c r="O174" s="12" t="s">
        <v>1715</v>
      </c>
    </row>
    <row r="175" ht="22.5" customHeight="1">
      <c r="A175" s="9">
        <v>46068.849438460646</v>
      </c>
      <c r="B175" s="10" t="s">
        <v>1716</v>
      </c>
      <c r="C175" s="11" t="s">
        <v>1717</v>
      </c>
      <c r="D175" s="10" t="s">
        <v>1718</v>
      </c>
      <c r="E175" s="11" t="s">
        <v>1719</v>
      </c>
      <c r="F175" s="10" t="s">
        <v>1720</v>
      </c>
      <c r="G175" s="10" t="s">
        <v>1720</v>
      </c>
      <c r="H175" s="10" t="s">
        <v>52</v>
      </c>
      <c r="I175" s="10" t="s">
        <v>127</v>
      </c>
      <c r="J175" s="10" t="s">
        <v>467</v>
      </c>
      <c r="K175" s="10" t="s">
        <v>1721</v>
      </c>
      <c r="M175" s="12" t="s">
        <v>1722</v>
      </c>
      <c r="N175" s="12" t="s">
        <v>1723</v>
      </c>
      <c r="O175" s="12" t="s">
        <v>1724</v>
      </c>
    </row>
    <row r="176" ht="22.5" customHeight="1">
      <c r="A176" s="9">
        <v>46068.94286898148</v>
      </c>
      <c r="B176" s="10" t="s">
        <v>1725</v>
      </c>
      <c r="C176" s="11" t="s">
        <v>1726</v>
      </c>
      <c r="D176" s="10" t="s">
        <v>1727</v>
      </c>
      <c r="E176" s="11" t="s">
        <v>1728</v>
      </c>
      <c r="F176" s="10" t="s">
        <v>1729</v>
      </c>
      <c r="G176" s="10" t="s">
        <v>1729</v>
      </c>
      <c r="H176" s="10" t="s">
        <v>52</v>
      </c>
      <c r="I176" s="10" t="s">
        <v>115</v>
      </c>
      <c r="J176" s="10" t="s">
        <v>1730</v>
      </c>
      <c r="K176" s="10" t="s">
        <v>1731</v>
      </c>
      <c r="L176" s="12" t="s">
        <v>1732</v>
      </c>
      <c r="M176" s="12" t="s">
        <v>1733</v>
      </c>
      <c r="N176" s="12" t="s">
        <v>1734</v>
      </c>
      <c r="O176" s="12" t="s">
        <v>1735</v>
      </c>
    </row>
    <row r="177" ht="22.5" customHeight="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22.5" customHeight="1">
      <c r="A178" s="9">
        <v>46071.42332591435</v>
      </c>
      <c r="B178" s="10" t="s">
        <v>1736</v>
      </c>
      <c r="C178" s="11" t="s">
        <v>1737</v>
      </c>
      <c r="D178" s="10" t="s">
        <v>1738</v>
      </c>
      <c r="E178" s="10" t="s">
        <v>1739</v>
      </c>
      <c r="F178" s="10" t="s">
        <v>1740</v>
      </c>
      <c r="G178" s="10" t="s">
        <v>1740</v>
      </c>
      <c r="H178" s="10" t="s">
        <v>22</v>
      </c>
      <c r="I178" s="10" t="s">
        <v>23</v>
      </c>
      <c r="J178" s="10" t="s">
        <v>93</v>
      </c>
      <c r="K178" s="10" t="s">
        <v>1741</v>
      </c>
      <c r="M178" s="12" t="s">
        <v>1742</v>
      </c>
      <c r="N178" s="12" t="s">
        <v>1743</v>
      </c>
      <c r="O178" s="12" t="s">
        <v>1744</v>
      </c>
    </row>
    <row r="179" ht="22.5" customHeight="1">
      <c r="A179" s="9">
        <v>46075.40091398148</v>
      </c>
      <c r="B179" s="10" t="s">
        <v>1736</v>
      </c>
      <c r="C179" s="11" t="s">
        <v>1737</v>
      </c>
      <c r="D179" s="10" t="s">
        <v>1738</v>
      </c>
      <c r="E179" s="10" t="s">
        <v>1739</v>
      </c>
      <c r="F179" s="10" t="s">
        <v>1745</v>
      </c>
      <c r="G179" s="10" t="s">
        <v>1740</v>
      </c>
      <c r="H179" s="10" t="s">
        <v>22</v>
      </c>
      <c r="I179" s="10" t="s">
        <v>23</v>
      </c>
      <c r="J179" s="10" t="s">
        <v>831</v>
      </c>
      <c r="K179" s="10" t="s">
        <v>1741</v>
      </c>
      <c r="M179" s="12" t="s">
        <v>1746</v>
      </c>
      <c r="N179" s="12" t="s">
        <v>1747</v>
      </c>
      <c r="O179" s="12" t="s">
        <v>1748</v>
      </c>
    </row>
    <row r="180" ht="22.5" customHeight="1">
      <c r="A180" s="9">
        <v>46077.40414078704</v>
      </c>
      <c r="B180" s="10" t="s">
        <v>1611</v>
      </c>
      <c r="C180" s="11" t="s">
        <v>1612</v>
      </c>
      <c r="D180" s="10" t="s">
        <v>1613</v>
      </c>
      <c r="E180" s="10" t="s">
        <v>1622</v>
      </c>
      <c r="F180" s="10" t="s">
        <v>1615</v>
      </c>
      <c r="G180" s="10" t="s">
        <v>1623</v>
      </c>
      <c r="H180" s="10" t="s">
        <v>22</v>
      </c>
      <c r="I180" s="10" t="s">
        <v>23</v>
      </c>
      <c r="J180" s="10" t="s">
        <v>1749</v>
      </c>
      <c r="K180" s="10" t="s">
        <v>1617</v>
      </c>
      <c r="L180" s="12" t="s">
        <v>1750</v>
      </c>
      <c r="M180" s="12" t="s">
        <v>1751</v>
      </c>
      <c r="N180" s="12" t="s">
        <v>1752</v>
      </c>
      <c r="O180" s="12" t="s">
        <v>1753</v>
      </c>
    </row>
    <row r="181" ht="22.5" customHeight="1">
      <c r="A181" s="9">
        <v>46077.51426809028</v>
      </c>
      <c r="B181" s="10" t="s">
        <v>1269</v>
      </c>
      <c r="C181" s="11" t="s">
        <v>1270</v>
      </c>
      <c r="D181" s="10" t="s">
        <v>1271</v>
      </c>
      <c r="E181" s="11" t="s">
        <v>1272</v>
      </c>
      <c r="F181" s="10" t="s">
        <v>1754</v>
      </c>
      <c r="G181" s="10" t="s">
        <v>1754</v>
      </c>
      <c r="H181" s="10" t="s">
        <v>52</v>
      </c>
      <c r="I181" s="10" t="s">
        <v>115</v>
      </c>
      <c r="J181" s="10" t="s">
        <v>193</v>
      </c>
      <c r="K181" s="10" t="s">
        <v>1274</v>
      </c>
      <c r="L181" s="12" t="s">
        <v>1755</v>
      </c>
      <c r="M181" s="12" t="s">
        <v>1756</v>
      </c>
      <c r="N181" s="12" t="s">
        <v>1757</v>
      </c>
      <c r="O181" s="12" t="s">
        <v>1758</v>
      </c>
    </row>
    <row r="182" ht="22.5" customHeight="1">
      <c r="A182" s="9">
        <v>46077.69601381944</v>
      </c>
      <c r="B182" s="10" t="s">
        <v>1759</v>
      </c>
      <c r="C182" s="11" t="s">
        <v>1760</v>
      </c>
      <c r="D182" s="10">
        <v>0.0</v>
      </c>
      <c r="E182" s="10">
        <v>0.0</v>
      </c>
      <c r="F182" s="10" t="s">
        <v>1761</v>
      </c>
      <c r="G182" s="10" t="s">
        <v>1762</v>
      </c>
      <c r="H182" s="10" t="s">
        <v>52</v>
      </c>
      <c r="I182" s="10" t="s">
        <v>127</v>
      </c>
      <c r="J182" s="10" t="s">
        <v>205</v>
      </c>
      <c r="K182" s="10" t="s">
        <v>1763</v>
      </c>
      <c r="L182" s="12" t="s">
        <v>1764</v>
      </c>
      <c r="M182" s="12" t="s">
        <v>1765</v>
      </c>
      <c r="N182" s="12" t="s">
        <v>1766</v>
      </c>
      <c r="O182" s="12" t="s">
        <v>1767</v>
      </c>
    </row>
    <row r="183" ht="22.5" customHeight="1">
      <c r="A183" s="9">
        <v>46079.69411996528</v>
      </c>
      <c r="B183" s="10" t="s">
        <v>1768</v>
      </c>
      <c r="C183" s="11" t="s">
        <v>1769</v>
      </c>
      <c r="D183" s="10" t="s">
        <v>1770</v>
      </c>
      <c r="E183" s="10" t="s">
        <v>1771</v>
      </c>
      <c r="F183" s="10" t="s">
        <v>1772</v>
      </c>
      <c r="G183" s="10" t="s">
        <v>1772</v>
      </c>
      <c r="H183" s="10" t="s">
        <v>52</v>
      </c>
      <c r="I183" s="10" t="s">
        <v>127</v>
      </c>
      <c r="J183" s="10" t="s">
        <v>1773</v>
      </c>
      <c r="K183" s="10" t="s">
        <v>1774</v>
      </c>
      <c r="L183" s="12" t="s">
        <v>1775</v>
      </c>
      <c r="M183" s="12" t="s">
        <v>1776</v>
      </c>
      <c r="N183" s="12" t="s">
        <v>1777</v>
      </c>
      <c r="O183" s="12" t="s">
        <v>1778</v>
      </c>
    </row>
    <row r="184" ht="22.5" customHeight="1">
      <c r="A184" s="9">
        <v>46080.47322212963</v>
      </c>
      <c r="B184" s="10" t="s">
        <v>1779</v>
      </c>
      <c r="C184" s="11" t="s">
        <v>1780</v>
      </c>
      <c r="D184" s="10" t="s">
        <v>1781</v>
      </c>
      <c r="E184" s="11" t="s">
        <v>1782</v>
      </c>
      <c r="F184" s="10" t="s">
        <v>1783</v>
      </c>
      <c r="G184" s="10" t="s">
        <v>1783</v>
      </c>
      <c r="H184" s="10" t="s">
        <v>22</v>
      </c>
      <c r="I184" s="10" t="s">
        <v>23</v>
      </c>
      <c r="J184" s="10" t="s">
        <v>401</v>
      </c>
      <c r="K184" s="10" t="s">
        <v>1784</v>
      </c>
      <c r="L184" s="12" t="s">
        <v>1785</v>
      </c>
      <c r="M184" s="12" t="s">
        <v>1786</v>
      </c>
      <c r="N184" s="12" t="s">
        <v>1787</v>
      </c>
      <c r="O184" s="12" t="s">
        <v>1788</v>
      </c>
    </row>
    <row r="185" ht="22.5" customHeight="1">
      <c r="A185" s="9">
        <v>46080.47878425926</v>
      </c>
      <c r="B185" s="10" t="s">
        <v>1789</v>
      </c>
      <c r="C185" s="11" t="s">
        <v>1790</v>
      </c>
      <c r="D185" s="10" t="s">
        <v>1791</v>
      </c>
      <c r="E185" s="11" t="s">
        <v>1792</v>
      </c>
      <c r="F185" s="10" t="s">
        <v>1793</v>
      </c>
      <c r="G185" s="10" t="s">
        <v>1793</v>
      </c>
      <c r="H185" s="10" t="s">
        <v>52</v>
      </c>
      <c r="I185" s="10" t="s">
        <v>23</v>
      </c>
      <c r="J185" s="10" t="s">
        <v>64</v>
      </c>
      <c r="K185" s="10" t="s">
        <v>1794</v>
      </c>
      <c r="L185" s="12" t="s">
        <v>1795</v>
      </c>
      <c r="M185" s="12" t="s">
        <v>1796</v>
      </c>
      <c r="N185" s="12" t="s">
        <v>1797</v>
      </c>
      <c r="O185" s="12" t="s">
        <v>1798</v>
      </c>
    </row>
    <row r="186" ht="22.5" customHeight="1">
      <c r="A186" s="9">
        <v>46081.546661932865</v>
      </c>
      <c r="B186" s="10" t="s">
        <v>1716</v>
      </c>
      <c r="C186" s="11" t="s">
        <v>1717</v>
      </c>
      <c r="D186" s="10" t="s">
        <v>1799</v>
      </c>
      <c r="E186" s="11" t="s">
        <v>1719</v>
      </c>
      <c r="F186" s="10" t="s">
        <v>1800</v>
      </c>
      <c r="G186" s="10" t="s">
        <v>1720</v>
      </c>
      <c r="H186" s="10" t="s">
        <v>52</v>
      </c>
      <c r="I186" s="10" t="s">
        <v>23</v>
      </c>
      <c r="J186" s="10" t="s">
        <v>1801</v>
      </c>
      <c r="K186" s="10" t="s">
        <v>1802</v>
      </c>
      <c r="M186" s="12" t="s">
        <v>1803</v>
      </c>
      <c r="N186" s="12" t="s">
        <v>1804</v>
      </c>
      <c r="O186" s="12" t="s">
        <v>1805</v>
      </c>
    </row>
    <row r="187" ht="22.5" customHeight="1">
      <c r="A187" s="9">
        <v>46083.5844025</v>
      </c>
      <c r="B187" s="10" t="s">
        <v>1806</v>
      </c>
      <c r="C187" s="11" t="s">
        <v>1760</v>
      </c>
      <c r="D187" s="10" t="s">
        <v>527</v>
      </c>
      <c r="E187" s="10" t="s">
        <v>527</v>
      </c>
      <c r="F187" s="10" t="s">
        <v>1807</v>
      </c>
      <c r="G187" s="10" t="s">
        <v>1808</v>
      </c>
      <c r="H187" s="10" t="s">
        <v>52</v>
      </c>
      <c r="I187" s="10" t="s">
        <v>127</v>
      </c>
      <c r="J187" s="10" t="s">
        <v>104</v>
      </c>
      <c r="K187" s="10" t="s">
        <v>1763</v>
      </c>
      <c r="L187" s="12" t="s">
        <v>1809</v>
      </c>
      <c r="M187" s="12" t="s">
        <v>1810</v>
      </c>
      <c r="N187" s="12" t="s">
        <v>1811</v>
      </c>
      <c r="O187" s="12" t="s">
        <v>1812</v>
      </c>
    </row>
    <row r="188" ht="22.5" customHeight="1">
      <c r="A188" s="9">
        <v>46084.63114065972</v>
      </c>
      <c r="B188" s="10" t="s">
        <v>1038</v>
      </c>
      <c r="C188" s="11" t="s">
        <v>781</v>
      </c>
      <c r="D188" s="10" t="s">
        <v>1813</v>
      </c>
      <c r="E188" s="10" t="s">
        <v>783</v>
      </c>
      <c r="F188" s="10" t="s">
        <v>1814</v>
      </c>
      <c r="G188" s="10" t="s">
        <v>1814</v>
      </c>
      <c r="H188" s="10" t="s">
        <v>22</v>
      </c>
      <c r="I188" s="10" t="s">
        <v>23</v>
      </c>
      <c r="J188" s="10" t="s">
        <v>1815</v>
      </c>
      <c r="K188" s="10" t="s">
        <v>786</v>
      </c>
      <c r="M188" s="12" t="s">
        <v>1816</v>
      </c>
      <c r="N188" s="12" t="s">
        <v>1817</v>
      </c>
      <c r="O188" s="12" t="s">
        <v>1818</v>
      </c>
    </row>
    <row r="189" ht="22.5" customHeight="1">
      <c r="A189" s="9">
        <v>46084.73100046296</v>
      </c>
      <c r="B189" s="10" t="s">
        <v>1819</v>
      </c>
      <c r="C189" s="11" t="s">
        <v>1820</v>
      </c>
      <c r="D189" s="10" t="s">
        <v>1821</v>
      </c>
      <c r="E189" s="11" t="s">
        <v>1822</v>
      </c>
      <c r="F189" s="10" t="s">
        <v>1823</v>
      </c>
      <c r="G189" s="10" t="s">
        <v>1823</v>
      </c>
      <c r="H189" s="10" t="s">
        <v>52</v>
      </c>
      <c r="I189" s="10" t="s">
        <v>127</v>
      </c>
      <c r="J189" s="10" t="s">
        <v>1824</v>
      </c>
      <c r="K189" s="10" t="s">
        <v>1825</v>
      </c>
      <c r="L189" s="12" t="s">
        <v>1826</v>
      </c>
      <c r="M189" s="12" t="s">
        <v>1827</v>
      </c>
      <c r="N189" s="12" t="s">
        <v>1828</v>
      </c>
      <c r="O189" s="12" t="s">
        <v>1829</v>
      </c>
      <c r="P189" s="10" t="s">
        <v>1830</v>
      </c>
    </row>
    <row r="190" ht="22.5" customHeight="1">
      <c r="A190" s="9">
        <v>46087.973934814814</v>
      </c>
      <c r="B190" s="10" t="s">
        <v>1831</v>
      </c>
      <c r="C190" s="11" t="s">
        <v>1832</v>
      </c>
      <c r="D190" s="10" t="s">
        <v>1833</v>
      </c>
      <c r="E190" s="11" t="s">
        <v>1834</v>
      </c>
      <c r="F190" s="10" t="s">
        <v>1835</v>
      </c>
      <c r="G190" s="10" t="s">
        <v>1835</v>
      </c>
      <c r="H190" s="10" t="s">
        <v>52</v>
      </c>
      <c r="I190" s="10" t="s">
        <v>127</v>
      </c>
      <c r="J190" s="10" t="s">
        <v>93</v>
      </c>
      <c r="K190" s="10" t="s">
        <v>1836</v>
      </c>
      <c r="L190" s="12" t="s">
        <v>1837</v>
      </c>
      <c r="M190" s="12" t="s">
        <v>1838</v>
      </c>
      <c r="N190" s="12" t="s">
        <v>1839</v>
      </c>
      <c r="O190" s="12" t="s">
        <v>1840</v>
      </c>
      <c r="P190" s="10" t="s">
        <v>1841</v>
      </c>
    </row>
    <row r="191" ht="22.5" customHeight="1">
      <c r="A191" s="9">
        <v>46089.36983255787</v>
      </c>
      <c r="B191" s="10" t="s">
        <v>1842</v>
      </c>
      <c r="C191" s="11" t="s">
        <v>1843</v>
      </c>
      <c r="D191" s="10" t="s">
        <v>1844</v>
      </c>
      <c r="E191" s="11" t="s">
        <v>1845</v>
      </c>
      <c r="F191" s="10" t="s">
        <v>1846</v>
      </c>
      <c r="G191" s="10" t="s">
        <v>1846</v>
      </c>
      <c r="H191" s="10" t="s">
        <v>52</v>
      </c>
      <c r="I191" s="10" t="s">
        <v>115</v>
      </c>
      <c r="J191" s="10" t="s">
        <v>64</v>
      </c>
      <c r="K191" s="10" t="s">
        <v>1847</v>
      </c>
      <c r="M191" s="12" t="s">
        <v>1848</v>
      </c>
      <c r="N191" s="12" t="s">
        <v>1849</v>
      </c>
      <c r="O191" s="12" t="s">
        <v>1850</v>
      </c>
    </row>
    <row r="192" ht="22.5" customHeight="1">
      <c r="A192" s="9">
        <v>46089.47160502315</v>
      </c>
      <c r="B192" s="10" t="s">
        <v>1451</v>
      </c>
      <c r="C192" s="11" t="s">
        <v>1452</v>
      </c>
      <c r="D192" s="10" t="s">
        <v>1851</v>
      </c>
      <c r="E192" s="11" t="s">
        <v>1852</v>
      </c>
      <c r="F192" s="10" t="s">
        <v>1455</v>
      </c>
      <c r="G192" s="10" t="s">
        <v>1455</v>
      </c>
      <c r="H192" s="10" t="s">
        <v>52</v>
      </c>
      <c r="I192" s="10" t="s">
        <v>127</v>
      </c>
      <c r="J192" s="10" t="s">
        <v>1853</v>
      </c>
      <c r="K192" s="10" t="s">
        <v>1854</v>
      </c>
      <c r="L192" s="12" t="s">
        <v>1855</v>
      </c>
      <c r="M192" s="12" t="s">
        <v>1856</v>
      </c>
      <c r="N192" s="12" t="s">
        <v>1857</v>
      </c>
      <c r="O192" s="12" t="s">
        <v>1858</v>
      </c>
    </row>
    <row r="193" ht="22.5" customHeight="1">
      <c r="A193" s="9">
        <v>46089.480957962965</v>
      </c>
      <c r="B193" s="10" t="s">
        <v>1716</v>
      </c>
      <c r="C193" s="11" t="s">
        <v>1717</v>
      </c>
      <c r="D193" s="10" t="s">
        <v>1718</v>
      </c>
      <c r="E193" s="11" t="s">
        <v>1719</v>
      </c>
      <c r="F193" s="10" t="s">
        <v>1859</v>
      </c>
      <c r="G193" s="10" t="s">
        <v>1859</v>
      </c>
      <c r="H193" s="10" t="s">
        <v>52</v>
      </c>
      <c r="I193" s="10" t="s">
        <v>23</v>
      </c>
      <c r="J193" s="10" t="s">
        <v>1860</v>
      </c>
      <c r="K193" s="10" t="s">
        <v>1802</v>
      </c>
      <c r="M193" s="12" t="s">
        <v>1861</v>
      </c>
      <c r="N193" s="12" t="s">
        <v>1862</v>
      </c>
      <c r="O193" s="12" t="s">
        <v>1863</v>
      </c>
    </row>
    <row r="194" ht="22.5" customHeight="1">
      <c r="A194" s="9">
        <v>46089.74188023148</v>
      </c>
      <c r="B194" s="10" t="s">
        <v>1864</v>
      </c>
      <c r="C194" s="11" t="s">
        <v>1865</v>
      </c>
      <c r="D194" s="10" t="s">
        <v>1866</v>
      </c>
      <c r="E194" s="10" t="s">
        <v>1867</v>
      </c>
      <c r="F194" s="10" t="s">
        <v>1868</v>
      </c>
      <c r="G194" s="10" t="s">
        <v>1868</v>
      </c>
      <c r="H194" s="10" t="s">
        <v>22</v>
      </c>
      <c r="I194" s="10" t="s">
        <v>23</v>
      </c>
      <c r="J194" s="10" t="s">
        <v>906</v>
      </c>
      <c r="K194" s="10" t="s">
        <v>1869</v>
      </c>
      <c r="L194" s="12" t="s">
        <v>1870</v>
      </c>
      <c r="M194" s="12" t="s">
        <v>1871</v>
      </c>
      <c r="N194" s="12" t="s">
        <v>1872</v>
      </c>
      <c r="O194" s="12" t="s">
        <v>1873</v>
      </c>
    </row>
    <row r="195" ht="22.5" customHeight="1">
      <c r="A195" s="9">
        <v>46090.4203171875</v>
      </c>
      <c r="B195" s="10" t="s">
        <v>1874</v>
      </c>
      <c r="C195" s="11" t="s">
        <v>1875</v>
      </c>
      <c r="D195" s="10" t="s">
        <v>1876</v>
      </c>
      <c r="E195" s="11" t="s">
        <v>1877</v>
      </c>
      <c r="F195" s="10" t="s">
        <v>1878</v>
      </c>
      <c r="G195" s="10" t="s">
        <v>1878</v>
      </c>
      <c r="H195" s="10" t="s">
        <v>22</v>
      </c>
      <c r="I195" s="10" t="s">
        <v>115</v>
      </c>
      <c r="J195" s="10" t="s">
        <v>1879</v>
      </c>
      <c r="K195" s="10" t="s">
        <v>1880</v>
      </c>
      <c r="L195" s="12" t="s">
        <v>1881</v>
      </c>
      <c r="M195" s="12" t="s">
        <v>1882</v>
      </c>
      <c r="N195" s="12" t="s">
        <v>1883</v>
      </c>
      <c r="O195" s="12" t="s">
        <v>1884</v>
      </c>
      <c r="P195" s="10"/>
    </row>
    <row r="196" ht="22.5" customHeight="1">
      <c r="A196" s="9">
        <v>46090.58898177084</v>
      </c>
      <c r="B196" s="10" t="s">
        <v>1611</v>
      </c>
      <c r="C196" s="11" t="s">
        <v>1612</v>
      </c>
      <c r="D196" s="10" t="s">
        <v>1613</v>
      </c>
      <c r="E196" s="10" t="s">
        <v>1622</v>
      </c>
      <c r="F196" s="10" t="s">
        <v>1615</v>
      </c>
      <c r="G196" s="10" t="s">
        <v>1623</v>
      </c>
      <c r="H196" s="10" t="s">
        <v>22</v>
      </c>
      <c r="I196" s="10" t="s">
        <v>23</v>
      </c>
      <c r="J196" s="10" t="s">
        <v>1885</v>
      </c>
      <c r="K196" s="10" t="s">
        <v>1617</v>
      </c>
      <c r="L196" s="12" t="s">
        <v>1886</v>
      </c>
      <c r="M196" s="12" t="s">
        <v>1887</v>
      </c>
      <c r="N196" s="12" t="s">
        <v>1888</v>
      </c>
      <c r="O196" s="12" t="s">
        <v>1889</v>
      </c>
    </row>
    <row r="197" ht="22.5" customHeight="1">
      <c r="A197" s="9">
        <v>46091.67721912037</v>
      </c>
      <c r="B197" s="10" t="s">
        <v>1890</v>
      </c>
      <c r="C197" s="11" t="s">
        <v>1891</v>
      </c>
      <c r="D197" s="10" t="s">
        <v>1892</v>
      </c>
      <c r="E197" s="10" t="s">
        <v>1893</v>
      </c>
      <c r="F197" s="10" t="s">
        <v>1894</v>
      </c>
      <c r="G197" s="10" t="s">
        <v>1895</v>
      </c>
      <c r="H197" s="10" t="s">
        <v>52</v>
      </c>
      <c r="I197" s="10" t="s">
        <v>115</v>
      </c>
      <c r="J197" s="10" t="s">
        <v>1896</v>
      </c>
      <c r="K197" s="10" t="s">
        <v>1897</v>
      </c>
      <c r="L197" s="12" t="s">
        <v>1898</v>
      </c>
      <c r="M197" s="12" t="s">
        <v>1899</v>
      </c>
      <c r="N197" s="12" t="s">
        <v>1900</v>
      </c>
      <c r="O197" s="12" t="s">
        <v>1901</v>
      </c>
    </row>
    <row r="198" ht="22.5" customHeight="1">
      <c r="A198" s="9">
        <v>46092.748801967595</v>
      </c>
      <c r="B198" s="10" t="s">
        <v>1902</v>
      </c>
      <c r="C198" s="11" t="s">
        <v>1903</v>
      </c>
      <c r="D198" s="10" t="s">
        <v>1904</v>
      </c>
      <c r="E198" s="11" t="s">
        <v>1905</v>
      </c>
      <c r="F198" s="10" t="s">
        <v>1906</v>
      </c>
      <c r="G198" s="10" t="s">
        <v>1907</v>
      </c>
      <c r="H198" s="10" t="s">
        <v>52</v>
      </c>
      <c r="I198" s="10" t="s">
        <v>115</v>
      </c>
      <c r="J198" s="10" t="s">
        <v>831</v>
      </c>
      <c r="K198" s="10" t="s">
        <v>1908</v>
      </c>
      <c r="L198" s="12" t="s">
        <v>1909</v>
      </c>
      <c r="M198" s="12" t="s">
        <v>1910</v>
      </c>
      <c r="N198" s="12" t="s">
        <v>1911</v>
      </c>
      <c r="O198" s="12" t="s">
        <v>1912</v>
      </c>
    </row>
    <row r="199" ht="22.5" customHeight="1">
      <c r="A199" s="9">
        <v>46094.66469788195</v>
      </c>
      <c r="B199" s="10" t="s">
        <v>1913</v>
      </c>
      <c r="C199" s="11" t="s">
        <v>1914</v>
      </c>
      <c r="D199" s="10" t="s">
        <v>1915</v>
      </c>
      <c r="E199" s="11" t="s">
        <v>1916</v>
      </c>
      <c r="F199" s="10" t="s">
        <v>1917</v>
      </c>
      <c r="G199" s="10" t="s">
        <v>1917</v>
      </c>
      <c r="H199" s="10" t="s">
        <v>52</v>
      </c>
      <c r="I199" s="10" t="s">
        <v>115</v>
      </c>
      <c r="J199" s="10" t="s">
        <v>304</v>
      </c>
      <c r="K199" s="10" t="s">
        <v>1918</v>
      </c>
      <c r="L199" s="12" t="s">
        <v>1919</v>
      </c>
      <c r="M199" s="12" t="s">
        <v>1920</v>
      </c>
      <c r="N199" s="12" t="s">
        <v>1921</v>
      </c>
      <c r="O199" s="12" t="s">
        <v>1922</v>
      </c>
    </row>
    <row r="200" ht="22.5" customHeight="1">
      <c r="A200" s="9">
        <v>46096.68704399306</v>
      </c>
      <c r="B200" s="10" t="s">
        <v>1923</v>
      </c>
      <c r="C200" s="11" t="s">
        <v>1924</v>
      </c>
      <c r="D200" s="10" t="s">
        <v>1925</v>
      </c>
      <c r="E200" s="11" t="s">
        <v>1926</v>
      </c>
      <c r="F200" s="10" t="s">
        <v>1927</v>
      </c>
      <c r="G200" s="10" t="s">
        <v>1927</v>
      </c>
      <c r="H200" s="10" t="s">
        <v>52</v>
      </c>
      <c r="I200" s="10" t="s">
        <v>23</v>
      </c>
      <c r="J200" s="10" t="s">
        <v>1928</v>
      </c>
      <c r="K200" s="10" t="s">
        <v>1929</v>
      </c>
      <c r="M200" s="12" t="s">
        <v>1930</v>
      </c>
      <c r="N200" s="12" t="s">
        <v>1931</v>
      </c>
      <c r="O200" s="12" t="s">
        <v>1932</v>
      </c>
      <c r="P200" s="10" t="s">
        <v>1933</v>
      </c>
    </row>
    <row r="201" ht="22.5" customHeight="1">
      <c r="A201" s="9">
        <v>46097.47511868055</v>
      </c>
      <c r="B201" s="10" t="s">
        <v>1759</v>
      </c>
      <c r="C201" s="11" t="s">
        <v>1760</v>
      </c>
      <c r="D201" s="10" t="s">
        <v>527</v>
      </c>
      <c r="E201" s="10" t="s">
        <v>527</v>
      </c>
      <c r="F201" s="10" t="s">
        <v>1934</v>
      </c>
      <c r="G201" s="10" t="s">
        <v>1935</v>
      </c>
      <c r="H201" s="10" t="s">
        <v>52</v>
      </c>
      <c r="I201" s="10" t="s">
        <v>127</v>
      </c>
      <c r="J201" s="10" t="s">
        <v>1936</v>
      </c>
      <c r="K201" s="10" t="s">
        <v>1763</v>
      </c>
      <c r="L201" s="12" t="s">
        <v>1937</v>
      </c>
      <c r="M201" s="12" t="s">
        <v>1938</v>
      </c>
      <c r="N201" s="12" t="s">
        <v>1939</v>
      </c>
      <c r="O201" s="12" t="s">
        <v>1940</v>
      </c>
    </row>
    <row r="202" ht="22.5" customHeight="1">
      <c r="A202" s="9">
        <v>46098.437687384256</v>
      </c>
      <c r="B202" s="10" t="s">
        <v>1941</v>
      </c>
      <c r="C202" s="11" t="s">
        <v>1942</v>
      </c>
      <c r="D202" s="10" t="s">
        <v>1943</v>
      </c>
      <c r="E202" s="11" t="s">
        <v>1944</v>
      </c>
      <c r="F202" s="10" t="s">
        <v>1945</v>
      </c>
      <c r="G202" s="10" t="s">
        <v>1945</v>
      </c>
      <c r="H202" s="10" t="s">
        <v>52</v>
      </c>
      <c r="I202" s="10" t="s">
        <v>115</v>
      </c>
      <c r="J202" s="10" t="s">
        <v>883</v>
      </c>
      <c r="K202" s="10" t="s">
        <v>1946</v>
      </c>
      <c r="M202" s="12" t="s">
        <v>1947</v>
      </c>
      <c r="N202" s="12" t="s">
        <v>1948</v>
      </c>
      <c r="O202" s="12" t="s">
        <v>1949</v>
      </c>
    </row>
    <row r="203" ht="22.5" customHeight="1">
      <c r="A203" s="9">
        <v>46104.40071472222</v>
      </c>
      <c r="B203" s="10" t="s">
        <v>1950</v>
      </c>
      <c r="C203" s="11" t="s">
        <v>1951</v>
      </c>
      <c r="D203" s="10" t="s">
        <v>1952</v>
      </c>
      <c r="E203" s="11" t="s">
        <v>1953</v>
      </c>
      <c r="F203" s="10" t="s">
        <v>1954</v>
      </c>
      <c r="G203" s="10" t="s">
        <v>1955</v>
      </c>
      <c r="H203" s="10" t="s">
        <v>52</v>
      </c>
      <c r="I203" s="10" t="s">
        <v>23</v>
      </c>
      <c r="J203" s="10" t="s">
        <v>1956</v>
      </c>
      <c r="K203" s="10" t="s">
        <v>1957</v>
      </c>
      <c r="L203" s="12" t="s">
        <v>1958</v>
      </c>
      <c r="M203" s="12" t="s">
        <v>1959</v>
      </c>
      <c r="N203" s="12" t="s">
        <v>1960</v>
      </c>
      <c r="O203" s="12" t="s">
        <v>1961</v>
      </c>
    </row>
    <row r="204" ht="22.5" customHeight="1">
      <c r="A204" s="9">
        <v>46105.38846394676</v>
      </c>
      <c r="B204" s="10" t="s">
        <v>1962</v>
      </c>
      <c r="C204" s="11" t="s">
        <v>1963</v>
      </c>
      <c r="D204" s="10" t="s">
        <v>1964</v>
      </c>
      <c r="E204" s="10" t="s">
        <v>1965</v>
      </c>
      <c r="F204" s="10" t="s">
        <v>1966</v>
      </c>
      <c r="G204" s="10" t="s">
        <v>1966</v>
      </c>
      <c r="H204" s="10" t="s">
        <v>52</v>
      </c>
      <c r="I204" s="10" t="s">
        <v>115</v>
      </c>
      <c r="J204" s="10" t="s">
        <v>1730</v>
      </c>
      <c r="K204" s="10" t="s">
        <v>1967</v>
      </c>
      <c r="L204" s="12" t="s">
        <v>1968</v>
      </c>
      <c r="M204" s="12" t="s">
        <v>1969</v>
      </c>
      <c r="N204" s="12" t="s">
        <v>1970</v>
      </c>
      <c r="O204" s="12" t="s">
        <v>1971</v>
      </c>
    </row>
    <row r="205" ht="22.5" customHeight="1">
      <c r="A205" s="9">
        <v>46105.40193746528</v>
      </c>
      <c r="B205" s="10" t="s">
        <v>1972</v>
      </c>
      <c r="C205" s="11" t="s">
        <v>1973</v>
      </c>
      <c r="D205" s="10" t="s">
        <v>1974</v>
      </c>
      <c r="E205" s="11" t="s">
        <v>1975</v>
      </c>
      <c r="F205" s="10" t="s">
        <v>1976</v>
      </c>
      <c r="G205" s="10" t="s">
        <v>1977</v>
      </c>
      <c r="H205" s="10" t="s">
        <v>22</v>
      </c>
      <c r="I205" s="10" t="s">
        <v>23</v>
      </c>
      <c r="J205" s="10" t="s">
        <v>104</v>
      </c>
      <c r="K205" s="10" t="s">
        <v>1978</v>
      </c>
      <c r="M205" s="12" t="s">
        <v>1979</v>
      </c>
      <c r="N205" s="12" t="s">
        <v>1980</v>
      </c>
      <c r="O205" s="12" t="s">
        <v>1981</v>
      </c>
    </row>
    <row r="206" ht="22.5" customHeight="1">
      <c r="A206" s="9">
        <v>46105.70593449074</v>
      </c>
      <c r="B206" s="10" t="s">
        <v>1982</v>
      </c>
      <c r="C206" s="11" t="s">
        <v>1983</v>
      </c>
      <c r="D206" s="10" t="s">
        <v>1984</v>
      </c>
      <c r="E206" s="11" t="s">
        <v>1985</v>
      </c>
      <c r="F206" s="10" t="s">
        <v>1986</v>
      </c>
      <c r="G206" s="10" t="s">
        <v>1986</v>
      </c>
      <c r="H206" s="10" t="s">
        <v>52</v>
      </c>
      <c r="I206" s="10" t="s">
        <v>115</v>
      </c>
      <c r="J206" s="10" t="s">
        <v>1534</v>
      </c>
      <c r="K206" s="10" t="s">
        <v>1987</v>
      </c>
      <c r="L206" s="12" t="s">
        <v>1988</v>
      </c>
      <c r="M206" s="12" t="s">
        <v>1989</v>
      </c>
      <c r="N206" s="12" t="s">
        <v>1990</v>
      </c>
      <c r="O206" s="12" t="s">
        <v>1991</v>
      </c>
    </row>
    <row r="207" ht="22.5" customHeight="1">
      <c r="A207" s="9">
        <v>46106.51031614583</v>
      </c>
      <c r="B207" s="10" t="s">
        <v>1992</v>
      </c>
      <c r="C207" s="11" t="s">
        <v>1631</v>
      </c>
      <c r="D207" s="10" t="s">
        <v>1993</v>
      </c>
      <c r="E207" s="10" t="s">
        <v>1633</v>
      </c>
      <c r="F207" s="10" t="s">
        <v>1994</v>
      </c>
      <c r="G207" s="10" t="s">
        <v>1995</v>
      </c>
      <c r="H207" s="10" t="s">
        <v>52</v>
      </c>
      <c r="I207" s="10" t="s">
        <v>127</v>
      </c>
      <c r="J207" s="10" t="s">
        <v>104</v>
      </c>
      <c r="K207" s="10" t="s">
        <v>1996</v>
      </c>
      <c r="L207" s="12" t="s">
        <v>1997</v>
      </c>
      <c r="M207" s="12" t="s">
        <v>1998</v>
      </c>
      <c r="N207" s="12" t="s">
        <v>1999</v>
      </c>
      <c r="O207" s="12" t="s">
        <v>2000</v>
      </c>
    </row>
    <row r="208" ht="22.5" customHeight="1">
      <c r="A208" s="9">
        <v>46107.57147589121</v>
      </c>
      <c r="B208" s="10" t="s">
        <v>2001</v>
      </c>
      <c r="C208" s="11" t="s">
        <v>2002</v>
      </c>
      <c r="D208" s="10" t="s">
        <v>2003</v>
      </c>
      <c r="E208" s="10" t="s">
        <v>2004</v>
      </c>
      <c r="F208" s="10" t="s">
        <v>2005</v>
      </c>
      <c r="G208" s="10" t="s">
        <v>2005</v>
      </c>
      <c r="H208" s="10" t="s">
        <v>52</v>
      </c>
      <c r="I208" s="10" t="s">
        <v>23</v>
      </c>
      <c r="J208" s="10" t="s">
        <v>205</v>
      </c>
      <c r="K208" s="10" t="s">
        <v>2006</v>
      </c>
      <c r="L208" s="12" t="s">
        <v>2007</v>
      </c>
      <c r="M208" s="12" t="s">
        <v>2008</v>
      </c>
      <c r="N208" s="12" t="s">
        <v>2009</v>
      </c>
      <c r="O208" s="12" t="s">
        <v>2010</v>
      </c>
    </row>
    <row r="209" ht="22.5" customHeight="1">
      <c r="A209" s="9">
        <v>46110.400041319444</v>
      </c>
      <c r="B209" s="10" t="s">
        <v>2011</v>
      </c>
      <c r="C209" s="11" t="s">
        <v>2012</v>
      </c>
      <c r="D209" s="10" t="s">
        <v>2013</v>
      </c>
      <c r="E209" s="10" t="s">
        <v>2014</v>
      </c>
      <c r="F209" s="10" t="s">
        <v>2015</v>
      </c>
      <c r="G209" s="10" t="s">
        <v>2015</v>
      </c>
      <c r="H209" s="10" t="s">
        <v>22</v>
      </c>
      <c r="I209" s="10" t="s">
        <v>115</v>
      </c>
      <c r="J209" s="10" t="s">
        <v>1101</v>
      </c>
      <c r="K209" s="10" t="s">
        <v>2016</v>
      </c>
      <c r="L209" s="12" t="s">
        <v>2017</v>
      </c>
      <c r="M209" s="12" t="s">
        <v>2018</v>
      </c>
      <c r="N209" s="12" t="s">
        <v>2019</v>
      </c>
      <c r="O209" s="12" t="s">
        <v>2020</v>
      </c>
    </row>
    <row r="210" ht="22.5" customHeight="1">
      <c r="A210" s="9">
        <v>46110.678990092594</v>
      </c>
      <c r="B210" s="10" t="s">
        <v>1941</v>
      </c>
      <c r="C210" s="11" t="s">
        <v>1942</v>
      </c>
      <c r="D210" s="10" t="s">
        <v>1943</v>
      </c>
      <c r="E210" s="11" t="s">
        <v>1944</v>
      </c>
      <c r="F210" s="10" t="s">
        <v>2021</v>
      </c>
      <c r="G210" s="10" t="s">
        <v>2021</v>
      </c>
      <c r="H210" s="10" t="s">
        <v>52</v>
      </c>
      <c r="I210" s="10" t="s">
        <v>23</v>
      </c>
      <c r="J210" s="10" t="s">
        <v>2022</v>
      </c>
      <c r="K210" s="10" t="s">
        <v>2023</v>
      </c>
      <c r="M210" s="12" t="s">
        <v>2024</v>
      </c>
      <c r="N210" s="12" t="s">
        <v>2025</v>
      </c>
      <c r="O210" s="12" t="s">
        <v>2026</v>
      </c>
    </row>
    <row r="211" ht="22.5" customHeight="1">
      <c r="A211" s="9">
        <v>46111.49419091435</v>
      </c>
      <c r="B211" s="10" t="s">
        <v>2027</v>
      </c>
      <c r="C211" s="11" t="s">
        <v>2028</v>
      </c>
      <c r="D211" s="10" t="s">
        <v>2029</v>
      </c>
      <c r="E211" s="11" t="s">
        <v>2030</v>
      </c>
      <c r="F211" s="10" t="s">
        <v>2031</v>
      </c>
      <c r="G211" s="10" t="s">
        <v>2032</v>
      </c>
      <c r="H211" s="10" t="s">
        <v>52</v>
      </c>
      <c r="I211" s="10" t="s">
        <v>127</v>
      </c>
      <c r="J211" s="10" t="s">
        <v>24</v>
      </c>
      <c r="K211" s="10" t="s">
        <v>2033</v>
      </c>
      <c r="M211" s="12" t="s">
        <v>2034</v>
      </c>
      <c r="N211" s="12" t="s">
        <v>2035</v>
      </c>
      <c r="O211" s="12" t="s">
        <v>2036</v>
      </c>
      <c r="P211" s="10" t="s">
        <v>2037</v>
      </c>
    </row>
    <row r="212" ht="22.5" customHeight="1">
      <c r="A212" s="9">
        <v>46111.89979403935</v>
      </c>
      <c r="B212" s="10" t="s">
        <v>641</v>
      </c>
      <c r="C212" s="11" t="s">
        <v>642</v>
      </c>
      <c r="D212" s="10" t="s">
        <v>643</v>
      </c>
      <c r="E212" s="11" t="s">
        <v>644</v>
      </c>
      <c r="F212" s="10" t="s">
        <v>645</v>
      </c>
      <c r="G212" s="10" t="s">
        <v>646</v>
      </c>
      <c r="H212" s="10" t="s">
        <v>52</v>
      </c>
      <c r="I212" s="10" t="s">
        <v>23</v>
      </c>
      <c r="J212" s="10" t="s">
        <v>2038</v>
      </c>
      <c r="K212" s="10" t="s">
        <v>648</v>
      </c>
      <c r="L212" s="12" t="s">
        <v>2039</v>
      </c>
      <c r="M212" s="12" t="s">
        <v>2040</v>
      </c>
      <c r="N212" s="12" t="s">
        <v>2041</v>
      </c>
      <c r="O212" s="12" t="s">
        <v>2042</v>
      </c>
    </row>
    <row r="213" ht="22.5" customHeight="1">
      <c r="A213" s="9">
        <v>46112.40245671297</v>
      </c>
      <c r="B213" s="10" t="s">
        <v>2043</v>
      </c>
      <c r="C213" s="11" t="s">
        <v>2044</v>
      </c>
      <c r="D213" s="10" t="s">
        <v>2045</v>
      </c>
      <c r="E213" s="11" t="s">
        <v>2046</v>
      </c>
      <c r="F213" s="10" t="s">
        <v>2047</v>
      </c>
      <c r="G213" s="10" t="s">
        <v>2047</v>
      </c>
      <c r="H213" s="10" t="s">
        <v>22</v>
      </c>
      <c r="I213" s="10" t="s">
        <v>23</v>
      </c>
      <c r="J213" s="10" t="s">
        <v>401</v>
      </c>
      <c r="K213" s="10" t="s">
        <v>2048</v>
      </c>
      <c r="L213" s="12" t="s">
        <v>2049</v>
      </c>
      <c r="M213" s="12" t="s">
        <v>2050</v>
      </c>
      <c r="N213" s="12" t="s">
        <v>2051</v>
      </c>
      <c r="O213" s="12" t="s">
        <v>2052</v>
      </c>
    </row>
    <row r="214" ht="22.5" customHeight="1">
      <c r="A214" s="9">
        <v>46112.601462824074</v>
      </c>
      <c r="B214" s="10" t="s">
        <v>1913</v>
      </c>
      <c r="C214" s="11" t="s">
        <v>1914</v>
      </c>
      <c r="D214" s="10" t="s">
        <v>2053</v>
      </c>
      <c r="E214" s="10" t="s">
        <v>2054</v>
      </c>
      <c r="F214" s="10" t="s">
        <v>2055</v>
      </c>
      <c r="G214" s="10" t="s">
        <v>2056</v>
      </c>
      <c r="H214" s="10" t="s">
        <v>52</v>
      </c>
      <c r="I214" s="10" t="s">
        <v>23</v>
      </c>
      <c r="J214" s="10" t="s">
        <v>2057</v>
      </c>
      <c r="K214" s="10" t="s">
        <v>2058</v>
      </c>
      <c r="M214" s="12" t="s">
        <v>2059</v>
      </c>
      <c r="N214" s="12" t="s">
        <v>2060</v>
      </c>
      <c r="O214" s="12" t="s">
        <v>2061</v>
      </c>
    </row>
    <row r="215" ht="22.5" customHeight="1">
      <c r="A215" s="9">
        <v>46113.386016122684</v>
      </c>
      <c r="B215" s="10" t="s">
        <v>2062</v>
      </c>
      <c r="C215" s="11" t="s">
        <v>2063</v>
      </c>
      <c r="D215" s="10" t="s">
        <v>2064</v>
      </c>
      <c r="E215" s="11" t="s">
        <v>2063</v>
      </c>
      <c r="F215" s="10" t="s">
        <v>2065</v>
      </c>
      <c r="G215" s="10" t="s">
        <v>2065</v>
      </c>
      <c r="H215" s="10" t="s">
        <v>52</v>
      </c>
      <c r="I215" s="10" t="s">
        <v>23</v>
      </c>
      <c r="J215" s="10" t="s">
        <v>2066</v>
      </c>
      <c r="K215" s="10" t="s">
        <v>2067</v>
      </c>
      <c r="L215" s="12" t="s">
        <v>2068</v>
      </c>
      <c r="M215" s="12" t="s">
        <v>2069</v>
      </c>
      <c r="N215" s="12" t="s">
        <v>2070</v>
      </c>
      <c r="O215" s="12" t="s">
        <v>2071</v>
      </c>
    </row>
    <row r="216" ht="22.5" customHeight="1">
      <c r="A216" s="9">
        <v>46113.960574467594</v>
      </c>
      <c r="B216" s="10" t="s">
        <v>1779</v>
      </c>
      <c r="C216" s="11" t="s">
        <v>1780</v>
      </c>
      <c r="D216" s="10" t="s">
        <v>2072</v>
      </c>
      <c r="E216" s="11" t="s">
        <v>2073</v>
      </c>
      <c r="F216" s="10" t="s">
        <v>1783</v>
      </c>
      <c r="G216" s="10" t="s">
        <v>1783</v>
      </c>
      <c r="H216" s="10" t="s">
        <v>52</v>
      </c>
      <c r="I216" s="10" t="s">
        <v>115</v>
      </c>
      <c r="J216" s="10" t="s">
        <v>467</v>
      </c>
      <c r="K216" s="10" t="s">
        <v>1784</v>
      </c>
      <c r="M216" s="12" t="s">
        <v>2074</v>
      </c>
      <c r="N216" s="12" t="s">
        <v>2075</v>
      </c>
      <c r="O216" s="12" t="s">
        <v>2076</v>
      </c>
    </row>
    <row r="217" ht="22.5" customHeight="1">
      <c r="A217" s="9">
        <v>46114.27100108797</v>
      </c>
      <c r="B217" s="10" t="s">
        <v>2077</v>
      </c>
      <c r="C217" s="11" t="s">
        <v>2078</v>
      </c>
      <c r="D217" s="10" t="s">
        <v>2079</v>
      </c>
      <c r="E217" s="11" t="s">
        <v>2080</v>
      </c>
      <c r="F217" s="10" t="s">
        <v>2081</v>
      </c>
      <c r="G217" s="10" t="s">
        <v>2081</v>
      </c>
      <c r="H217" s="10" t="s">
        <v>52</v>
      </c>
      <c r="I217" s="10" t="s">
        <v>23</v>
      </c>
      <c r="J217" s="10" t="s">
        <v>2082</v>
      </c>
      <c r="K217" s="10" t="s">
        <v>2083</v>
      </c>
      <c r="L217" s="12" t="s">
        <v>2084</v>
      </c>
      <c r="M217" s="12" t="s">
        <v>2085</v>
      </c>
      <c r="N217" s="12" t="s">
        <v>2086</v>
      </c>
      <c r="O217" s="12" t="s">
        <v>2087</v>
      </c>
    </row>
    <row r="218" ht="22.5" customHeight="1">
      <c r="A218" s="9">
        <v>46114.40108336805</v>
      </c>
      <c r="B218" s="10" t="s">
        <v>2088</v>
      </c>
      <c r="C218" s="11" t="s">
        <v>2089</v>
      </c>
      <c r="D218" s="10" t="s">
        <v>2090</v>
      </c>
      <c r="E218" s="11" t="s">
        <v>2091</v>
      </c>
      <c r="F218" s="10" t="s">
        <v>2092</v>
      </c>
      <c r="G218" s="10" t="s">
        <v>2093</v>
      </c>
      <c r="H218" s="10" t="s">
        <v>52</v>
      </c>
      <c r="I218" s="10" t="s">
        <v>23</v>
      </c>
      <c r="J218" s="10" t="s">
        <v>31</v>
      </c>
      <c r="K218" s="10" t="s">
        <v>2094</v>
      </c>
      <c r="L218" s="12" t="s">
        <v>2095</v>
      </c>
      <c r="M218" s="12" t="s">
        <v>2096</v>
      </c>
      <c r="N218" s="12" t="s">
        <v>2097</v>
      </c>
      <c r="O218" s="12" t="s">
        <v>2098</v>
      </c>
    </row>
    <row r="219" ht="22.5" customHeight="1">
      <c r="A219" s="9">
        <v>46117.932378935184</v>
      </c>
      <c r="B219" s="10" t="s">
        <v>2099</v>
      </c>
      <c r="C219" s="11" t="s">
        <v>2100</v>
      </c>
      <c r="D219" s="10" t="s">
        <v>2101</v>
      </c>
      <c r="E219" s="10" t="s">
        <v>2102</v>
      </c>
      <c r="F219" s="10" t="s">
        <v>2103</v>
      </c>
      <c r="G219" s="10" t="s">
        <v>2103</v>
      </c>
      <c r="H219" s="10" t="s">
        <v>52</v>
      </c>
      <c r="I219" s="10" t="s">
        <v>115</v>
      </c>
      <c r="J219" s="10" t="s">
        <v>304</v>
      </c>
      <c r="K219" s="10" t="s">
        <v>2104</v>
      </c>
      <c r="M219" s="12" t="s">
        <v>2105</v>
      </c>
      <c r="N219" s="12" t="s">
        <v>2106</v>
      </c>
      <c r="O219" s="12" t="s">
        <v>2107</v>
      </c>
    </row>
    <row r="220" ht="22.5" customHeight="1">
      <c r="A220" s="9">
        <v>46118.65342077546</v>
      </c>
      <c r="B220" s="10" t="s">
        <v>2108</v>
      </c>
      <c r="C220" s="11" t="s">
        <v>2109</v>
      </c>
      <c r="D220" s="10" t="s">
        <v>2110</v>
      </c>
      <c r="E220" s="11" t="s">
        <v>2111</v>
      </c>
      <c r="F220" s="10" t="s">
        <v>2112</v>
      </c>
      <c r="G220" s="10" t="s">
        <v>2112</v>
      </c>
      <c r="H220" s="10" t="s">
        <v>52</v>
      </c>
      <c r="I220" s="10" t="s">
        <v>127</v>
      </c>
      <c r="J220" s="10" t="s">
        <v>205</v>
      </c>
      <c r="K220" s="10" t="s">
        <v>2113</v>
      </c>
      <c r="L220" s="12" t="s">
        <v>2114</v>
      </c>
      <c r="M220" s="12" t="s">
        <v>2115</v>
      </c>
      <c r="N220" s="12" t="s">
        <v>2116</v>
      </c>
      <c r="O220" s="12" t="s">
        <v>2117</v>
      </c>
    </row>
    <row r="221" ht="22.5" customHeight="1">
      <c r="A221" s="9">
        <v>46118.733836666666</v>
      </c>
      <c r="B221" s="10" t="s">
        <v>2118</v>
      </c>
      <c r="C221" s="11" t="s">
        <v>2119</v>
      </c>
      <c r="D221" s="10" t="s">
        <v>2120</v>
      </c>
      <c r="E221" s="10" t="s">
        <v>2121</v>
      </c>
      <c r="F221" s="10" t="s">
        <v>2122</v>
      </c>
      <c r="G221" s="10" t="s">
        <v>2122</v>
      </c>
      <c r="H221" s="10" t="s">
        <v>22</v>
      </c>
      <c r="I221" s="10" t="s">
        <v>23</v>
      </c>
      <c r="J221" s="10" t="s">
        <v>2123</v>
      </c>
      <c r="K221" s="10" t="s">
        <v>2124</v>
      </c>
      <c r="L221" s="12" t="s">
        <v>2125</v>
      </c>
      <c r="M221" s="12" t="s">
        <v>2126</v>
      </c>
      <c r="N221" s="12" t="s">
        <v>2127</v>
      </c>
      <c r="O221" s="12" t="s">
        <v>2128</v>
      </c>
    </row>
    <row r="222" ht="22.5" customHeight="1">
      <c r="A222" s="9">
        <v>46118.78431398148</v>
      </c>
      <c r="B222" s="10" t="s">
        <v>2001</v>
      </c>
      <c r="C222" s="11" t="s">
        <v>2002</v>
      </c>
      <c r="D222" s="10" t="s">
        <v>2003</v>
      </c>
      <c r="E222" s="11" t="s">
        <v>2129</v>
      </c>
      <c r="F222" s="10" t="s">
        <v>2130</v>
      </c>
      <c r="G222" s="10" t="s">
        <v>2005</v>
      </c>
      <c r="H222" s="10" t="s">
        <v>52</v>
      </c>
      <c r="I222" s="10" t="s">
        <v>23</v>
      </c>
      <c r="J222" s="10" t="s">
        <v>104</v>
      </c>
      <c r="K222" s="10" t="s">
        <v>2006</v>
      </c>
      <c r="L222" s="12" t="s">
        <v>2131</v>
      </c>
      <c r="M222" s="12" t="s">
        <v>2132</v>
      </c>
      <c r="N222" s="12" t="s">
        <v>2133</v>
      </c>
      <c r="O222" s="12" t="s">
        <v>2134</v>
      </c>
    </row>
    <row r="223" ht="22.5" customHeight="1">
      <c r="A223" s="9">
        <v>46118.862167314815</v>
      </c>
      <c r="B223" s="10" t="s">
        <v>2135</v>
      </c>
      <c r="C223" s="11" t="s">
        <v>2136</v>
      </c>
      <c r="D223" s="10" t="s">
        <v>2137</v>
      </c>
      <c r="E223" s="11" t="s">
        <v>2138</v>
      </c>
      <c r="F223" s="10" t="s">
        <v>2139</v>
      </c>
      <c r="G223" s="10" t="s">
        <v>2139</v>
      </c>
      <c r="H223" s="10" t="s">
        <v>52</v>
      </c>
      <c r="I223" s="10" t="s">
        <v>127</v>
      </c>
      <c r="J223" s="10" t="s">
        <v>64</v>
      </c>
      <c r="K223" s="10" t="s">
        <v>2140</v>
      </c>
      <c r="L223" s="12" t="s">
        <v>2141</v>
      </c>
      <c r="M223" s="12" t="s">
        <v>2142</v>
      </c>
      <c r="N223" s="12" t="s">
        <v>2143</v>
      </c>
      <c r="O223" s="12" t="s">
        <v>2144</v>
      </c>
    </row>
    <row r="224" ht="22.5" customHeight="1">
      <c r="A224" s="9">
        <v>46121.377686203705</v>
      </c>
      <c r="B224" s="10" t="s">
        <v>2145</v>
      </c>
      <c r="C224" s="11" t="s">
        <v>2146</v>
      </c>
      <c r="D224" s="10" t="s">
        <v>2147</v>
      </c>
      <c r="E224" s="10" t="s">
        <v>2148</v>
      </c>
      <c r="F224" s="10" t="s">
        <v>1251</v>
      </c>
      <c r="G224" s="10" t="s">
        <v>2149</v>
      </c>
      <c r="H224" s="10" t="s">
        <v>52</v>
      </c>
      <c r="I224" s="10" t="s">
        <v>23</v>
      </c>
      <c r="J224" s="10" t="s">
        <v>104</v>
      </c>
      <c r="K224" s="10" t="s">
        <v>2150</v>
      </c>
      <c r="M224" s="12" t="s">
        <v>2151</v>
      </c>
      <c r="N224" s="12" t="s">
        <v>2152</v>
      </c>
      <c r="O224" s="12" t="s">
        <v>2153</v>
      </c>
    </row>
    <row r="225" ht="22.5" customHeight="1">
      <c r="A225" s="9">
        <v>46122.53902491898</v>
      </c>
      <c r="B225" s="10" t="s">
        <v>2154</v>
      </c>
      <c r="C225" s="11" t="s">
        <v>2155</v>
      </c>
      <c r="D225" s="10" t="s">
        <v>2156</v>
      </c>
      <c r="E225" s="10" t="s">
        <v>2157</v>
      </c>
      <c r="F225" s="10" t="s">
        <v>2158</v>
      </c>
      <c r="G225" s="10" t="s">
        <v>2158</v>
      </c>
      <c r="H225" s="10" t="s">
        <v>22</v>
      </c>
      <c r="I225" s="10" t="s">
        <v>23</v>
      </c>
      <c r="J225" s="10" t="s">
        <v>2159</v>
      </c>
      <c r="K225" s="10" t="s">
        <v>2160</v>
      </c>
      <c r="L225" s="12" t="s">
        <v>2161</v>
      </c>
      <c r="M225" s="12" t="s">
        <v>2162</v>
      </c>
      <c r="N225" s="12" t="s">
        <v>2163</v>
      </c>
      <c r="O225" s="12" t="s">
        <v>2164</v>
      </c>
    </row>
    <row r="226" ht="22.5" customHeight="1">
      <c r="A226" s="9">
        <v>46122.931851851856</v>
      </c>
      <c r="B226" s="10" t="s">
        <v>2165</v>
      </c>
      <c r="C226" s="11" t="s">
        <v>2166</v>
      </c>
      <c r="D226" s="10" t="s">
        <v>2167</v>
      </c>
      <c r="E226" s="10" t="s">
        <v>2168</v>
      </c>
      <c r="F226" s="10" t="s">
        <v>2169</v>
      </c>
      <c r="G226" s="10" t="s">
        <v>2169</v>
      </c>
      <c r="H226" s="10" t="s">
        <v>22</v>
      </c>
      <c r="I226" s="10" t="s">
        <v>115</v>
      </c>
      <c r="J226" s="10" t="s">
        <v>2170</v>
      </c>
      <c r="K226" s="10" t="s">
        <v>2171</v>
      </c>
      <c r="L226" s="12" t="s">
        <v>2172</v>
      </c>
      <c r="M226" s="12" t="s">
        <v>2173</v>
      </c>
      <c r="N226" s="12" t="s">
        <v>2174</v>
      </c>
      <c r="O226" s="12" t="s">
        <v>2175</v>
      </c>
      <c r="P226" s="10" t="s">
        <v>2176</v>
      </c>
    </row>
    <row r="227" ht="22.5" customHeight="1">
      <c r="A227" s="9">
        <v>46123.40441280093</v>
      </c>
      <c r="B227" s="10" t="s">
        <v>2177</v>
      </c>
      <c r="C227" s="11" t="s">
        <v>2178</v>
      </c>
      <c r="D227" s="10" t="s">
        <v>2179</v>
      </c>
      <c r="E227" s="11" t="s">
        <v>2180</v>
      </c>
      <c r="F227" s="10" t="s">
        <v>2181</v>
      </c>
      <c r="G227" s="10" t="s">
        <v>2181</v>
      </c>
      <c r="H227" s="10" t="s">
        <v>22</v>
      </c>
      <c r="I227" s="10" t="s">
        <v>127</v>
      </c>
      <c r="J227" s="10" t="s">
        <v>2182</v>
      </c>
      <c r="K227" s="10" t="s">
        <v>2183</v>
      </c>
      <c r="L227" s="12" t="s">
        <v>2184</v>
      </c>
      <c r="M227" s="12" t="s">
        <v>2185</v>
      </c>
      <c r="N227" s="12" t="s">
        <v>2186</v>
      </c>
      <c r="O227" s="12" t="s">
        <v>2187</v>
      </c>
    </row>
    <row r="228" ht="22.5" customHeight="1">
      <c r="A228" s="9">
        <v>46123.44044471065</v>
      </c>
      <c r="B228" s="10" t="s">
        <v>2188</v>
      </c>
      <c r="C228" s="11" t="s">
        <v>2189</v>
      </c>
      <c r="D228" s="10" t="s">
        <v>2190</v>
      </c>
      <c r="E228" s="10" t="s">
        <v>2191</v>
      </c>
      <c r="F228" s="10" t="s">
        <v>2192</v>
      </c>
      <c r="G228" s="10" t="s">
        <v>2192</v>
      </c>
      <c r="H228" s="10" t="s">
        <v>52</v>
      </c>
      <c r="I228" s="10" t="s">
        <v>23</v>
      </c>
      <c r="J228" s="10" t="s">
        <v>2193</v>
      </c>
      <c r="K228" s="10" t="s">
        <v>2194</v>
      </c>
      <c r="L228" s="12" t="s">
        <v>2195</v>
      </c>
      <c r="M228" s="12" t="s">
        <v>2196</v>
      </c>
      <c r="N228" s="12" t="s">
        <v>2197</v>
      </c>
      <c r="O228" s="12" t="s">
        <v>2198</v>
      </c>
    </row>
    <row r="229" ht="22.5" customHeight="1">
      <c r="A229" s="9">
        <v>46123.48694894676</v>
      </c>
      <c r="B229" s="10" t="s">
        <v>2199</v>
      </c>
      <c r="C229" s="11" t="s">
        <v>2200</v>
      </c>
      <c r="D229" s="10" t="s">
        <v>2201</v>
      </c>
      <c r="E229" s="11" t="s">
        <v>2202</v>
      </c>
      <c r="F229" s="10" t="s">
        <v>2203</v>
      </c>
      <c r="G229" s="10" t="s">
        <v>2203</v>
      </c>
      <c r="H229" s="10" t="s">
        <v>52</v>
      </c>
      <c r="I229" s="10" t="s">
        <v>115</v>
      </c>
      <c r="J229" s="10" t="s">
        <v>1860</v>
      </c>
      <c r="K229" s="10" t="s">
        <v>2204</v>
      </c>
      <c r="M229" s="12" t="s">
        <v>2205</v>
      </c>
      <c r="N229" s="12" t="s">
        <v>2206</v>
      </c>
      <c r="O229" s="12" t="s">
        <v>2207</v>
      </c>
    </row>
    <row r="230" ht="22.5" customHeight="1">
      <c r="A230" s="9">
        <v>46125.40357333333</v>
      </c>
      <c r="B230" s="10" t="s">
        <v>1038</v>
      </c>
      <c r="C230" s="11" t="s">
        <v>781</v>
      </c>
      <c r="D230" s="10" t="s">
        <v>782</v>
      </c>
      <c r="E230" s="10" t="s">
        <v>783</v>
      </c>
      <c r="F230" s="10" t="s">
        <v>784</v>
      </c>
      <c r="G230" s="10" t="s">
        <v>784</v>
      </c>
      <c r="H230" s="10" t="s">
        <v>52</v>
      </c>
      <c r="I230" s="10" t="s">
        <v>23</v>
      </c>
      <c r="J230" s="10" t="s">
        <v>1307</v>
      </c>
      <c r="K230" s="10" t="s">
        <v>786</v>
      </c>
      <c r="M230" s="12" t="s">
        <v>2208</v>
      </c>
      <c r="N230" s="12" t="s">
        <v>2209</v>
      </c>
      <c r="O230" s="12" t="s">
        <v>2210</v>
      </c>
    </row>
    <row r="231" ht="22.5" customHeight="1">
      <c r="A231" s="9">
        <v>46126.480536944444</v>
      </c>
      <c r="B231" s="10" t="s">
        <v>2211</v>
      </c>
      <c r="C231" s="11" t="s">
        <v>2212</v>
      </c>
      <c r="D231" s="10" t="s">
        <v>2213</v>
      </c>
      <c r="E231" s="11" t="s">
        <v>2214</v>
      </c>
      <c r="F231" s="10" t="s">
        <v>2215</v>
      </c>
      <c r="G231" s="10" t="s">
        <v>2216</v>
      </c>
      <c r="H231" s="10" t="s">
        <v>52</v>
      </c>
      <c r="I231" s="10" t="s">
        <v>23</v>
      </c>
      <c r="J231" s="10" t="s">
        <v>2217</v>
      </c>
      <c r="K231" s="10" t="s">
        <v>2218</v>
      </c>
      <c r="L231" s="12" t="s">
        <v>2219</v>
      </c>
      <c r="M231" s="12" t="s">
        <v>2220</v>
      </c>
      <c r="N231" s="12" t="s">
        <v>2221</v>
      </c>
      <c r="O231" s="12" t="s">
        <v>2222</v>
      </c>
    </row>
    <row r="232" ht="22.5" customHeight="1">
      <c r="A232" s="9">
        <v>46130.38490186342</v>
      </c>
      <c r="B232" s="10" t="s">
        <v>2223</v>
      </c>
      <c r="C232" s="11" t="s">
        <v>2224</v>
      </c>
      <c r="D232" s="10" t="s">
        <v>2225</v>
      </c>
      <c r="E232" s="10" t="s">
        <v>2226</v>
      </c>
      <c r="F232" s="10" t="s">
        <v>2227</v>
      </c>
      <c r="G232" s="10" t="s">
        <v>2228</v>
      </c>
      <c r="H232" s="10" t="s">
        <v>22</v>
      </c>
      <c r="I232" s="10" t="s">
        <v>115</v>
      </c>
      <c r="J232" s="10" t="s">
        <v>2229</v>
      </c>
      <c r="K232" s="10" t="s">
        <v>2230</v>
      </c>
      <c r="M232" s="12" t="s">
        <v>2231</v>
      </c>
      <c r="N232" s="12" t="s">
        <v>2232</v>
      </c>
      <c r="O232" s="12" t="s">
        <v>2233</v>
      </c>
    </row>
    <row r="233" ht="22.5" customHeight="1">
      <c r="A233" s="9">
        <v>46130.42681038195</v>
      </c>
      <c r="B233" s="10" t="s">
        <v>2234</v>
      </c>
      <c r="C233" s="11" t="s">
        <v>2235</v>
      </c>
      <c r="D233" s="10" t="s">
        <v>2236</v>
      </c>
      <c r="E233" s="11" t="s">
        <v>2237</v>
      </c>
      <c r="F233" s="10" t="s">
        <v>2238</v>
      </c>
      <c r="G233" s="10" t="s">
        <v>2238</v>
      </c>
      <c r="H233" s="10" t="s">
        <v>22</v>
      </c>
      <c r="I233" s="10" t="s">
        <v>127</v>
      </c>
      <c r="J233" s="10" t="s">
        <v>2239</v>
      </c>
      <c r="K233" s="10" t="s">
        <v>2240</v>
      </c>
      <c r="L233" s="12" t="s">
        <v>2241</v>
      </c>
      <c r="M233" s="12" t="s">
        <v>2242</v>
      </c>
      <c r="N233" s="12" t="s">
        <v>2243</v>
      </c>
      <c r="O233" s="12" t="s">
        <v>2244</v>
      </c>
      <c r="P233" s="10" t="s">
        <v>2245</v>
      </c>
    </row>
    <row r="234" ht="22.5" customHeight="1">
      <c r="A234" s="9">
        <v>46130.96352847222</v>
      </c>
      <c r="B234" s="10" t="s">
        <v>2246</v>
      </c>
      <c r="C234" s="11" t="s">
        <v>2247</v>
      </c>
      <c r="D234" s="10" t="s">
        <v>2248</v>
      </c>
      <c r="E234" s="10" t="s">
        <v>2249</v>
      </c>
      <c r="F234" s="10" t="s">
        <v>2250</v>
      </c>
      <c r="G234" s="10" t="s">
        <v>2251</v>
      </c>
      <c r="H234" s="10" t="s">
        <v>22</v>
      </c>
      <c r="I234" s="10" t="s">
        <v>115</v>
      </c>
      <c r="J234" s="10" t="s">
        <v>2252</v>
      </c>
      <c r="K234" s="10" t="s">
        <v>2253</v>
      </c>
      <c r="L234" s="12" t="s">
        <v>2254</v>
      </c>
      <c r="M234" s="12" t="s">
        <v>2255</v>
      </c>
      <c r="N234" s="12" t="s">
        <v>2256</v>
      </c>
      <c r="O234" s="12" t="s">
        <v>2257</v>
      </c>
    </row>
    <row r="235" ht="22.5" customHeight="1">
      <c r="A235" s="9">
        <v>46132.37448568287</v>
      </c>
      <c r="B235" s="10" t="s">
        <v>2258</v>
      </c>
      <c r="C235" s="11" t="s">
        <v>2259</v>
      </c>
      <c r="D235" s="10" t="s">
        <v>2260</v>
      </c>
      <c r="E235" s="11" t="s">
        <v>2261</v>
      </c>
      <c r="F235" s="10" t="s">
        <v>2262</v>
      </c>
      <c r="G235" s="10" t="s">
        <v>2263</v>
      </c>
      <c r="H235" s="10" t="s">
        <v>52</v>
      </c>
      <c r="I235" s="10" t="s">
        <v>127</v>
      </c>
      <c r="J235" s="10" t="s">
        <v>917</v>
      </c>
      <c r="K235" s="10" t="s">
        <v>2264</v>
      </c>
      <c r="L235" s="12" t="s">
        <v>2265</v>
      </c>
      <c r="M235" s="12" t="s">
        <v>2266</v>
      </c>
      <c r="N235" s="12" t="s">
        <v>2267</v>
      </c>
      <c r="O235" s="12" t="s">
        <v>2268</v>
      </c>
    </row>
    <row r="236" ht="22.5" customHeight="1">
      <c r="A236" s="9">
        <v>46133.48495817129</v>
      </c>
      <c r="B236" s="10" t="s">
        <v>2269</v>
      </c>
      <c r="C236" s="11" t="s">
        <v>2270</v>
      </c>
      <c r="D236" s="10" t="s">
        <v>2271</v>
      </c>
      <c r="E236" s="10" t="s">
        <v>2272</v>
      </c>
      <c r="F236" s="10" t="s">
        <v>2273</v>
      </c>
      <c r="G236" s="10" t="s">
        <v>2274</v>
      </c>
      <c r="H236" s="10" t="s">
        <v>52</v>
      </c>
      <c r="I236" s="10" t="s">
        <v>23</v>
      </c>
      <c r="J236" s="10" t="s">
        <v>2275</v>
      </c>
      <c r="K236" s="10" t="s">
        <v>2276</v>
      </c>
      <c r="L236" s="12" t="s">
        <v>2277</v>
      </c>
      <c r="M236" s="12" t="s">
        <v>2278</v>
      </c>
      <c r="N236" s="12" t="s">
        <v>2279</v>
      </c>
      <c r="O236" s="12" t="s">
        <v>2280</v>
      </c>
    </row>
    <row r="237" ht="22.5" customHeight="1">
      <c r="A237" s="9">
        <v>46133.51071</v>
      </c>
      <c r="B237" s="10" t="s">
        <v>2281</v>
      </c>
      <c r="C237" s="11" t="s">
        <v>2282</v>
      </c>
      <c r="D237" s="10" t="s">
        <v>2283</v>
      </c>
      <c r="E237" s="11" t="s">
        <v>2284</v>
      </c>
      <c r="F237" s="10" t="s">
        <v>2285</v>
      </c>
      <c r="G237" s="10" t="s">
        <v>2285</v>
      </c>
      <c r="H237" s="10" t="s">
        <v>52</v>
      </c>
      <c r="I237" s="10" t="s">
        <v>115</v>
      </c>
      <c r="J237" s="10" t="s">
        <v>2286</v>
      </c>
      <c r="K237" s="10" t="s">
        <v>2287</v>
      </c>
      <c r="L237" s="12" t="s">
        <v>2288</v>
      </c>
      <c r="M237" s="12" t="s">
        <v>2289</v>
      </c>
      <c r="N237" s="12" t="s">
        <v>2290</v>
      </c>
      <c r="O237" s="12" t="s">
        <v>2291</v>
      </c>
    </row>
    <row r="238" ht="22.5" customHeight="1">
      <c r="A238" s="9">
        <v>46133.542436585645</v>
      </c>
      <c r="B238" s="10" t="s">
        <v>1426</v>
      </c>
      <c r="C238" s="11" t="s">
        <v>1427</v>
      </c>
      <c r="D238" s="10" t="s">
        <v>1428</v>
      </c>
      <c r="E238" s="11" t="s">
        <v>2292</v>
      </c>
      <c r="F238" s="10" t="s">
        <v>2293</v>
      </c>
      <c r="G238" s="10" t="s">
        <v>2293</v>
      </c>
      <c r="H238" s="10" t="s">
        <v>22</v>
      </c>
      <c r="I238" s="10" t="s">
        <v>115</v>
      </c>
      <c r="J238" s="10" t="s">
        <v>2294</v>
      </c>
      <c r="K238" s="10" t="s">
        <v>1431</v>
      </c>
      <c r="L238" s="12" t="s">
        <v>2295</v>
      </c>
      <c r="M238" s="12" t="s">
        <v>2296</v>
      </c>
      <c r="N238" s="12" t="s">
        <v>2297</v>
      </c>
      <c r="O238" s="12" t="s">
        <v>2298</v>
      </c>
    </row>
    <row r="239" ht="22.5" customHeight="1">
      <c r="A239" s="9">
        <v>46133.66171929398</v>
      </c>
      <c r="B239" s="10" t="s">
        <v>2299</v>
      </c>
      <c r="C239" s="11" t="s">
        <v>2300</v>
      </c>
      <c r="D239" s="10" t="s">
        <v>2301</v>
      </c>
      <c r="E239" s="11" t="s">
        <v>2302</v>
      </c>
      <c r="F239" s="10" t="s">
        <v>2303</v>
      </c>
      <c r="G239" s="10" t="s">
        <v>2303</v>
      </c>
      <c r="H239" s="10" t="s">
        <v>22</v>
      </c>
      <c r="I239" s="10" t="s">
        <v>115</v>
      </c>
      <c r="J239" s="10" t="s">
        <v>104</v>
      </c>
      <c r="K239" s="10" t="s">
        <v>2304</v>
      </c>
      <c r="M239" s="12" t="s">
        <v>2305</v>
      </c>
      <c r="N239" s="12" t="s">
        <v>2306</v>
      </c>
      <c r="O239" s="12" t="s">
        <v>2307</v>
      </c>
    </row>
    <row r="240" ht="22.5" customHeight="1">
      <c r="A240" s="9">
        <v>46133.73570276621</v>
      </c>
      <c r="B240" s="10" t="s">
        <v>2308</v>
      </c>
      <c r="C240" s="11" t="s">
        <v>2309</v>
      </c>
      <c r="D240" s="10" t="s">
        <v>2310</v>
      </c>
      <c r="E240" s="11" t="s">
        <v>2311</v>
      </c>
      <c r="F240" s="10" t="s">
        <v>2312</v>
      </c>
      <c r="G240" s="10" t="s">
        <v>2313</v>
      </c>
      <c r="H240" s="10" t="s">
        <v>52</v>
      </c>
      <c r="I240" s="10" t="s">
        <v>127</v>
      </c>
      <c r="J240" s="10" t="s">
        <v>2314</v>
      </c>
      <c r="K240" s="10" t="s">
        <v>2315</v>
      </c>
      <c r="L240" s="12" t="s">
        <v>2316</v>
      </c>
      <c r="M240" s="12" t="s">
        <v>2317</v>
      </c>
      <c r="N240" s="12" t="s">
        <v>2318</v>
      </c>
      <c r="O240" s="12" t="s">
        <v>2319</v>
      </c>
      <c r="P240" s="10" t="s">
        <v>2320</v>
      </c>
    </row>
    <row r="241" ht="22.5" customHeight="1">
      <c r="A241" s="9">
        <v>46133.75578811343</v>
      </c>
      <c r="B241" s="10" t="s">
        <v>2321</v>
      </c>
      <c r="C241" s="11" t="s">
        <v>2322</v>
      </c>
      <c r="D241" s="10" t="s">
        <v>2323</v>
      </c>
      <c r="E241" s="11" t="s">
        <v>2324</v>
      </c>
      <c r="F241" s="10" t="s">
        <v>2325</v>
      </c>
      <c r="G241" s="10" t="s">
        <v>2326</v>
      </c>
      <c r="H241" s="10" t="s">
        <v>22</v>
      </c>
      <c r="I241" s="10" t="s">
        <v>23</v>
      </c>
      <c r="J241" s="10" t="s">
        <v>2327</v>
      </c>
      <c r="K241" s="10" t="s">
        <v>2328</v>
      </c>
      <c r="L241" s="12" t="s">
        <v>2329</v>
      </c>
      <c r="M241" s="12" t="s">
        <v>2330</v>
      </c>
      <c r="N241" s="12" t="s">
        <v>2331</v>
      </c>
      <c r="O241" s="12" t="s">
        <v>2332</v>
      </c>
    </row>
    <row r="242" ht="22.5" customHeight="1">
      <c r="A242" s="9">
        <v>46136.900047800926</v>
      </c>
      <c r="B242" s="10" t="s">
        <v>1579</v>
      </c>
      <c r="C242" s="11" t="s">
        <v>1580</v>
      </c>
      <c r="D242" s="10" t="s">
        <v>1581</v>
      </c>
      <c r="E242" s="11" t="s">
        <v>2333</v>
      </c>
      <c r="F242" s="10" t="s">
        <v>2334</v>
      </c>
      <c r="G242" s="10" t="s">
        <v>2334</v>
      </c>
      <c r="H242" s="10" t="s">
        <v>52</v>
      </c>
      <c r="I242" s="10" t="s">
        <v>127</v>
      </c>
      <c r="J242" s="10" t="s">
        <v>1860</v>
      </c>
      <c r="K242" s="10" t="s">
        <v>1585</v>
      </c>
      <c r="L242" s="12" t="s">
        <v>2335</v>
      </c>
      <c r="M242" s="12" t="s">
        <v>2336</v>
      </c>
      <c r="N242" s="12" t="s">
        <v>2337</v>
      </c>
      <c r="O242" s="12" t="s">
        <v>2338</v>
      </c>
    </row>
    <row r="243" ht="22.5" customHeight="1">
      <c r="A243" s="9">
        <v>46139.80276486111</v>
      </c>
      <c r="B243" s="10" t="s">
        <v>2339</v>
      </c>
      <c r="C243" s="11" t="s">
        <v>2340</v>
      </c>
      <c r="D243" s="10" t="s">
        <v>2341</v>
      </c>
      <c r="E243" s="11" t="s">
        <v>2342</v>
      </c>
      <c r="F243" s="10" t="s">
        <v>2343</v>
      </c>
      <c r="G243" s="10" t="s">
        <v>2344</v>
      </c>
      <c r="H243" s="10" t="s">
        <v>52</v>
      </c>
      <c r="I243" s="10" t="s">
        <v>23</v>
      </c>
      <c r="J243" s="10" t="s">
        <v>2345</v>
      </c>
      <c r="K243" s="10" t="s">
        <v>2346</v>
      </c>
      <c r="L243" s="12" t="s">
        <v>2347</v>
      </c>
      <c r="M243" s="12" t="s">
        <v>2348</v>
      </c>
      <c r="N243" s="12" t="s">
        <v>2349</v>
      </c>
      <c r="O243" s="12" t="s">
        <v>2350</v>
      </c>
      <c r="P243" s="10" t="s">
        <v>2351</v>
      </c>
    </row>
    <row r="244" ht="22.5" customHeight="1">
      <c r="A244" s="9">
        <v>46140.43799982639</v>
      </c>
      <c r="B244" s="10" t="s">
        <v>2352</v>
      </c>
      <c r="C244" s="11" t="s">
        <v>2353</v>
      </c>
      <c r="D244" s="10" t="s">
        <v>2354</v>
      </c>
      <c r="E244" s="11" t="s">
        <v>2355</v>
      </c>
      <c r="F244" s="10" t="s">
        <v>2356</v>
      </c>
      <c r="G244" s="10" t="s">
        <v>2356</v>
      </c>
      <c r="H244" s="10" t="s">
        <v>52</v>
      </c>
      <c r="I244" s="10" t="s">
        <v>115</v>
      </c>
      <c r="J244" s="10" t="s">
        <v>2357</v>
      </c>
      <c r="K244" s="10" t="s">
        <v>2358</v>
      </c>
      <c r="L244" s="12" t="s">
        <v>2359</v>
      </c>
      <c r="M244" s="12" t="s">
        <v>2360</v>
      </c>
      <c r="N244" s="12" t="s">
        <v>2361</v>
      </c>
      <c r="O244" s="12" t="s">
        <v>2362</v>
      </c>
    </row>
    <row r="245" ht="22.5" customHeight="1">
      <c r="A245" s="9">
        <v>46140.637165162036</v>
      </c>
      <c r="B245" s="10" t="s">
        <v>2363</v>
      </c>
      <c r="C245" s="11" t="s">
        <v>2364</v>
      </c>
      <c r="D245" s="10" t="s">
        <v>2365</v>
      </c>
      <c r="E245" s="11" t="s">
        <v>2366</v>
      </c>
      <c r="F245" s="10" t="s">
        <v>2367</v>
      </c>
      <c r="G245" s="10" t="s">
        <v>2367</v>
      </c>
      <c r="H245" s="10" t="s">
        <v>52</v>
      </c>
      <c r="I245" s="10" t="s">
        <v>127</v>
      </c>
      <c r="J245" s="10" t="s">
        <v>104</v>
      </c>
      <c r="K245" s="10" t="s">
        <v>2368</v>
      </c>
      <c r="L245" s="12" t="s">
        <v>2369</v>
      </c>
      <c r="M245" s="12" t="s">
        <v>2370</v>
      </c>
      <c r="N245" s="12" t="s">
        <v>2371</v>
      </c>
      <c r="O245" s="12" t="s">
        <v>2372</v>
      </c>
    </row>
    <row r="246" ht="22.5" customHeight="1">
      <c r="A246" s="9">
        <v>46142.31302412037</v>
      </c>
      <c r="B246" s="10" t="s">
        <v>2373</v>
      </c>
      <c r="C246" s="11" t="s">
        <v>2374</v>
      </c>
      <c r="D246" s="10" t="s">
        <v>2375</v>
      </c>
      <c r="E246" s="11" t="s">
        <v>2376</v>
      </c>
      <c r="F246" s="10" t="s">
        <v>2377</v>
      </c>
      <c r="G246" s="10" t="s">
        <v>2378</v>
      </c>
      <c r="H246" s="10" t="s">
        <v>52</v>
      </c>
      <c r="I246" s="10" t="s">
        <v>115</v>
      </c>
      <c r="J246" s="10" t="s">
        <v>763</v>
      </c>
      <c r="K246" s="10" t="s">
        <v>2379</v>
      </c>
      <c r="M246" s="12" t="s">
        <v>2380</v>
      </c>
      <c r="N246" s="12" t="s">
        <v>2381</v>
      </c>
      <c r="O246" s="12" t="s">
        <v>2382</v>
      </c>
    </row>
    <row r="247" ht="22.5" customHeight="1">
      <c r="A247" s="9">
        <v>46142.609997928244</v>
      </c>
      <c r="B247" s="10" t="s">
        <v>2383</v>
      </c>
      <c r="C247" s="11" t="s">
        <v>2384</v>
      </c>
      <c r="D247" s="10" t="s">
        <v>2385</v>
      </c>
      <c r="E247" s="11" t="s">
        <v>2386</v>
      </c>
      <c r="F247" s="10" t="s">
        <v>2387</v>
      </c>
      <c r="G247" s="10" t="s">
        <v>2387</v>
      </c>
      <c r="H247" s="10" t="s">
        <v>22</v>
      </c>
      <c r="I247" s="10" t="s">
        <v>127</v>
      </c>
      <c r="J247" s="10" t="s">
        <v>104</v>
      </c>
      <c r="K247" s="10" t="s">
        <v>2388</v>
      </c>
      <c r="L247" s="12" t="s">
        <v>2389</v>
      </c>
      <c r="M247" s="12" t="s">
        <v>2390</v>
      </c>
      <c r="N247" s="12" t="s">
        <v>2391</v>
      </c>
      <c r="O247" s="12" t="s">
        <v>2392</v>
      </c>
    </row>
    <row r="248" ht="22.5" customHeight="1">
      <c r="A248" s="9">
        <v>46143.65574944444</v>
      </c>
      <c r="B248" s="10" t="s">
        <v>2393</v>
      </c>
      <c r="C248" s="11" t="s">
        <v>2394</v>
      </c>
      <c r="D248" s="10" t="s">
        <v>2395</v>
      </c>
      <c r="E248" s="10" t="s">
        <v>2396</v>
      </c>
      <c r="F248" s="10" t="s">
        <v>2397</v>
      </c>
      <c r="G248" s="10" t="s">
        <v>2397</v>
      </c>
      <c r="H248" s="10" t="s">
        <v>22</v>
      </c>
      <c r="I248" s="10" t="s">
        <v>115</v>
      </c>
      <c r="J248" s="10" t="s">
        <v>139</v>
      </c>
      <c r="K248" s="10" t="s">
        <v>2398</v>
      </c>
      <c r="L248" s="12" t="s">
        <v>2399</v>
      </c>
      <c r="M248" s="12" t="s">
        <v>2400</v>
      </c>
      <c r="N248" s="12" t="s">
        <v>2401</v>
      </c>
      <c r="O248" s="12" t="s">
        <v>2402</v>
      </c>
    </row>
    <row r="249" ht="22.5" customHeight="1">
      <c r="A249" s="9">
        <v>46143.900711678245</v>
      </c>
      <c r="B249" s="10" t="s">
        <v>2403</v>
      </c>
      <c r="C249" s="11" t="s">
        <v>2404</v>
      </c>
      <c r="D249" s="10" t="s">
        <v>2405</v>
      </c>
      <c r="E249" s="11" t="s">
        <v>2406</v>
      </c>
      <c r="F249" s="10" t="s">
        <v>2407</v>
      </c>
      <c r="G249" s="10" t="s">
        <v>2407</v>
      </c>
      <c r="H249" s="10" t="s">
        <v>52</v>
      </c>
      <c r="I249" s="10" t="s">
        <v>127</v>
      </c>
      <c r="J249" s="10" t="s">
        <v>64</v>
      </c>
      <c r="K249" s="10" t="s">
        <v>2408</v>
      </c>
      <c r="L249" s="12" t="s">
        <v>2409</v>
      </c>
      <c r="M249" s="12" t="s">
        <v>2410</v>
      </c>
      <c r="N249" s="12" t="s">
        <v>2411</v>
      </c>
      <c r="O249" s="12" t="s">
        <v>2412</v>
      </c>
      <c r="P249" s="10" t="s">
        <v>2413</v>
      </c>
    </row>
    <row r="250" ht="22.5" customHeight="1">
      <c r="A250" s="9">
        <v>46144.63385733796</v>
      </c>
      <c r="B250" s="10" t="s">
        <v>2414</v>
      </c>
      <c r="C250" s="11" t="s">
        <v>2415</v>
      </c>
      <c r="D250" s="10" t="s">
        <v>2416</v>
      </c>
      <c r="E250" s="11" t="s">
        <v>2417</v>
      </c>
      <c r="F250" s="10" t="s">
        <v>2418</v>
      </c>
      <c r="G250" s="10" t="s">
        <v>2419</v>
      </c>
      <c r="H250" s="10" t="s">
        <v>52</v>
      </c>
      <c r="I250" s="10" t="s">
        <v>127</v>
      </c>
      <c r="J250" s="10" t="s">
        <v>304</v>
      </c>
      <c r="K250" s="10" t="s">
        <v>2420</v>
      </c>
      <c r="L250" s="12" t="s">
        <v>2421</v>
      </c>
      <c r="M250" s="12" t="s">
        <v>2422</v>
      </c>
      <c r="N250" s="12" t="s">
        <v>2423</v>
      </c>
      <c r="O250" s="12" t="s">
        <v>2424</v>
      </c>
    </row>
    <row r="251" ht="22.5" customHeight="1">
      <c r="A251" s="9">
        <v>46146.37602582176</v>
      </c>
      <c r="B251" s="10" t="s">
        <v>2425</v>
      </c>
      <c r="C251" s="11" t="s">
        <v>233</v>
      </c>
      <c r="D251" s="10" t="s">
        <v>234</v>
      </c>
      <c r="E251" s="10" t="s">
        <v>235</v>
      </c>
      <c r="F251" s="10" t="s">
        <v>2426</v>
      </c>
      <c r="G251" s="10" t="s">
        <v>2427</v>
      </c>
      <c r="H251" s="10" t="s">
        <v>52</v>
      </c>
      <c r="I251" s="10" t="s">
        <v>127</v>
      </c>
      <c r="J251" s="10" t="s">
        <v>2428</v>
      </c>
      <c r="K251" s="10" t="s">
        <v>239</v>
      </c>
      <c r="M251" s="12" t="s">
        <v>2429</v>
      </c>
      <c r="N251" s="12" t="s">
        <v>2430</v>
      </c>
      <c r="O251" s="12" t="s">
        <v>2431</v>
      </c>
    </row>
    <row r="252" ht="22.5" customHeight="1">
      <c r="A252" s="9">
        <v>46148.601318506946</v>
      </c>
      <c r="B252" s="10" t="s">
        <v>2432</v>
      </c>
      <c r="C252" s="11" t="s">
        <v>2433</v>
      </c>
      <c r="D252" s="10" t="s">
        <v>2434</v>
      </c>
      <c r="E252" s="11" t="s">
        <v>2435</v>
      </c>
      <c r="F252" s="10" t="s">
        <v>2436</v>
      </c>
      <c r="G252" s="10" t="s">
        <v>2437</v>
      </c>
      <c r="H252" s="10" t="s">
        <v>52</v>
      </c>
      <c r="I252" s="10" t="s">
        <v>23</v>
      </c>
      <c r="J252" s="10" t="s">
        <v>2438</v>
      </c>
      <c r="K252" s="10" t="s">
        <v>2439</v>
      </c>
      <c r="L252" s="12" t="s">
        <v>2440</v>
      </c>
      <c r="M252" s="12" t="s">
        <v>2441</v>
      </c>
      <c r="N252" s="12" t="s">
        <v>2442</v>
      </c>
      <c r="O252" s="12" t="s">
        <v>2443</v>
      </c>
      <c r="P252" s="10" t="s">
        <v>2444</v>
      </c>
    </row>
    <row r="253" ht="22.5" customHeight="1">
      <c r="A253" s="9">
        <v>46148.87313302083</v>
      </c>
      <c r="B253" s="10" t="s">
        <v>2445</v>
      </c>
      <c r="C253" s="11" t="s">
        <v>2446</v>
      </c>
      <c r="D253" s="10" t="s">
        <v>2447</v>
      </c>
      <c r="E253" s="11" t="s">
        <v>2448</v>
      </c>
      <c r="F253" s="10" t="s">
        <v>2449</v>
      </c>
      <c r="G253" s="10" t="s">
        <v>2450</v>
      </c>
      <c r="H253" s="10" t="s">
        <v>22</v>
      </c>
      <c r="I253" s="10" t="s">
        <v>115</v>
      </c>
      <c r="J253" s="10" t="s">
        <v>139</v>
      </c>
      <c r="K253" s="10" t="s">
        <v>2451</v>
      </c>
      <c r="M253" s="12" t="s">
        <v>2452</v>
      </c>
      <c r="N253" s="12" t="s">
        <v>2453</v>
      </c>
      <c r="O253" s="12" t="s">
        <v>2454</v>
      </c>
    </row>
    <row r="254" ht="22.5" customHeight="1">
      <c r="A254" s="9">
        <v>46149.63628361111</v>
      </c>
      <c r="B254" s="10" t="s">
        <v>2455</v>
      </c>
      <c r="C254" s="11" t="s">
        <v>2456</v>
      </c>
      <c r="D254" s="10" t="s">
        <v>2457</v>
      </c>
      <c r="E254" s="11" t="s">
        <v>2458</v>
      </c>
      <c r="F254" s="10" t="s">
        <v>2459</v>
      </c>
      <c r="G254" s="10" t="s">
        <v>2460</v>
      </c>
      <c r="H254" s="10" t="s">
        <v>52</v>
      </c>
      <c r="I254" s="10" t="s">
        <v>23</v>
      </c>
      <c r="J254" s="10" t="s">
        <v>304</v>
      </c>
      <c r="K254" s="10" t="s">
        <v>2461</v>
      </c>
      <c r="L254" s="12" t="s">
        <v>2462</v>
      </c>
      <c r="M254" s="12" t="s">
        <v>2463</v>
      </c>
      <c r="N254" s="12" t="s">
        <v>2464</v>
      </c>
      <c r="O254" s="12" t="s">
        <v>2465</v>
      </c>
    </row>
    <row r="255" ht="22.5" customHeight="1">
      <c r="A255" s="9">
        <v>46153.83689957176</v>
      </c>
      <c r="B255" s="10" t="s">
        <v>2466</v>
      </c>
      <c r="C255" s="11" t="s">
        <v>2467</v>
      </c>
      <c r="D255" s="10" t="s">
        <v>2468</v>
      </c>
      <c r="E255" s="11" t="s">
        <v>2469</v>
      </c>
      <c r="F255" s="10" t="s">
        <v>2470</v>
      </c>
      <c r="G255" s="10" t="s">
        <v>2471</v>
      </c>
      <c r="H255" s="10" t="s">
        <v>22</v>
      </c>
      <c r="I255" s="10" t="s">
        <v>115</v>
      </c>
      <c r="J255" s="10" t="s">
        <v>2472</v>
      </c>
      <c r="K255" s="10" t="s">
        <v>2473</v>
      </c>
      <c r="L255" s="12" t="s">
        <v>2474</v>
      </c>
      <c r="M255" s="12" t="s">
        <v>2475</v>
      </c>
      <c r="N255" s="12" t="s">
        <v>2476</v>
      </c>
      <c r="O255" s="12" t="s">
        <v>2477</v>
      </c>
    </row>
    <row r="256" ht="22.5" customHeight="1">
      <c r="A256" s="9">
        <v>46154.59631259259</v>
      </c>
      <c r="B256" s="10" t="s">
        <v>2478</v>
      </c>
      <c r="C256" s="11" t="s">
        <v>2479</v>
      </c>
      <c r="D256" s="10" t="s">
        <v>2480</v>
      </c>
      <c r="E256" s="11" t="s">
        <v>2479</v>
      </c>
      <c r="F256" s="10" t="s">
        <v>2481</v>
      </c>
      <c r="G256" s="10" t="s">
        <v>2481</v>
      </c>
      <c r="H256" s="10" t="s">
        <v>22</v>
      </c>
      <c r="I256" s="10" t="s">
        <v>23</v>
      </c>
      <c r="J256" s="10" t="s">
        <v>2482</v>
      </c>
      <c r="K256" s="10" t="s">
        <v>2483</v>
      </c>
      <c r="L256" s="12" t="s">
        <v>2484</v>
      </c>
      <c r="M256" s="12" t="s">
        <v>2485</v>
      </c>
      <c r="N256" s="12" t="s">
        <v>2486</v>
      </c>
      <c r="O256" s="12" t="s">
        <v>2487</v>
      </c>
    </row>
    <row r="257" ht="22.5" customHeight="1">
      <c r="A257" s="9">
        <v>46154.71656987269</v>
      </c>
      <c r="B257" s="10" t="s">
        <v>2488</v>
      </c>
      <c r="C257" s="11" t="s">
        <v>2489</v>
      </c>
      <c r="D257" s="10" t="s">
        <v>2490</v>
      </c>
      <c r="E257" s="10" t="s">
        <v>2491</v>
      </c>
      <c r="F257" s="10" t="s">
        <v>2492</v>
      </c>
      <c r="G257" s="10" t="s">
        <v>2493</v>
      </c>
      <c r="H257" s="10" t="s">
        <v>22</v>
      </c>
      <c r="I257" s="10" t="s">
        <v>115</v>
      </c>
      <c r="J257" s="10" t="s">
        <v>2494</v>
      </c>
      <c r="K257" s="10" t="s">
        <v>2495</v>
      </c>
      <c r="L257" s="12" t="s">
        <v>2496</v>
      </c>
      <c r="M257" s="12" t="s">
        <v>2497</v>
      </c>
      <c r="N257" s="12" t="s">
        <v>2498</v>
      </c>
      <c r="O257" s="12" t="s">
        <v>2499</v>
      </c>
    </row>
    <row r="258" ht="22.5" customHeight="1">
      <c r="A258" s="9">
        <v>46155.37988445602</v>
      </c>
      <c r="B258" s="10" t="s">
        <v>1038</v>
      </c>
      <c r="C258" s="11" t="s">
        <v>781</v>
      </c>
      <c r="D258" s="10" t="s">
        <v>2500</v>
      </c>
      <c r="E258" s="10" t="s">
        <v>783</v>
      </c>
      <c r="F258" s="10" t="s">
        <v>784</v>
      </c>
      <c r="G258" s="10" t="s">
        <v>785</v>
      </c>
      <c r="H258" s="10" t="s">
        <v>52</v>
      </c>
      <c r="I258" s="10" t="s">
        <v>23</v>
      </c>
      <c r="J258" s="10" t="s">
        <v>2501</v>
      </c>
      <c r="K258" s="10" t="s">
        <v>786</v>
      </c>
      <c r="M258" s="12" t="s">
        <v>2502</v>
      </c>
      <c r="N258" s="12" t="s">
        <v>2503</v>
      </c>
      <c r="O258" s="12" t="s">
        <v>2504</v>
      </c>
    </row>
    <row r="259" ht="22.5" customHeight="1">
      <c r="A259" s="9">
        <v>46155.4423230324</v>
      </c>
      <c r="B259" s="10" t="s">
        <v>2505</v>
      </c>
      <c r="C259" s="11" t="s">
        <v>2506</v>
      </c>
      <c r="D259" s="10" t="s">
        <v>2507</v>
      </c>
      <c r="E259" s="10" t="s">
        <v>2508</v>
      </c>
      <c r="F259" s="10" t="s">
        <v>2509</v>
      </c>
      <c r="G259" s="10" t="s">
        <v>2510</v>
      </c>
      <c r="H259" s="10" t="s">
        <v>52</v>
      </c>
      <c r="I259" s="10" t="s">
        <v>127</v>
      </c>
      <c r="J259" s="10" t="s">
        <v>2511</v>
      </c>
      <c r="K259" s="10" t="s">
        <v>2512</v>
      </c>
      <c r="L259" s="12" t="s">
        <v>2513</v>
      </c>
      <c r="M259" s="12" t="s">
        <v>2514</v>
      </c>
      <c r="N259" s="12" t="s">
        <v>2515</v>
      </c>
      <c r="O259" s="12" t="s">
        <v>2516</v>
      </c>
    </row>
    <row r="260" ht="22.5" customHeight="1">
      <c r="A260" s="9">
        <v>46155.700048784725</v>
      </c>
      <c r="B260" s="10" t="s">
        <v>2517</v>
      </c>
      <c r="C260" s="11" t="s">
        <v>2200</v>
      </c>
      <c r="D260" s="10" t="s">
        <v>2518</v>
      </c>
      <c r="E260" s="11" t="s">
        <v>2202</v>
      </c>
      <c r="F260" s="10" t="s">
        <v>2519</v>
      </c>
      <c r="G260" s="10" t="s">
        <v>2519</v>
      </c>
      <c r="H260" s="10" t="s">
        <v>52</v>
      </c>
      <c r="I260" s="10" t="s">
        <v>23</v>
      </c>
      <c r="J260" s="10" t="s">
        <v>2520</v>
      </c>
      <c r="K260" s="10" t="s">
        <v>2204</v>
      </c>
      <c r="M260" s="12" t="s">
        <v>2521</v>
      </c>
      <c r="N260" s="12" t="s">
        <v>2522</v>
      </c>
      <c r="O260" s="12" t="s">
        <v>2523</v>
      </c>
    </row>
    <row r="261" ht="22.5" customHeight="1">
      <c r="A261" s="9">
        <v>46155.70185931713</v>
      </c>
      <c r="B261" s="10" t="s">
        <v>2524</v>
      </c>
      <c r="C261" s="11" t="s">
        <v>2525</v>
      </c>
      <c r="D261" s="10" t="s">
        <v>2526</v>
      </c>
      <c r="E261" s="11" t="s">
        <v>2527</v>
      </c>
      <c r="F261" s="10" t="s">
        <v>2528</v>
      </c>
      <c r="G261" s="10" t="s">
        <v>2528</v>
      </c>
      <c r="H261" s="10" t="s">
        <v>52</v>
      </c>
      <c r="I261" s="10" t="s">
        <v>23</v>
      </c>
      <c r="J261" s="10" t="s">
        <v>2529</v>
      </c>
      <c r="K261" s="10" t="s">
        <v>2530</v>
      </c>
      <c r="L261" s="12" t="s">
        <v>2531</v>
      </c>
      <c r="M261" s="12" t="s">
        <v>2532</v>
      </c>
      <c r="N261" s="12" t="s">
        <v>2533</v>
      </c>
      <c r="O261" s="12" t="s">
        <v>2534</v>
      </c>
    </row>
    <row r="262" ht="22.5" customHeight="1">
      <c r="A262" s="9">
        <v>46157.43005094907</v>
      </c>
      <c r="B262" s="10" t="s">
        <v>2535</v>
      </c>
      <c r="C262" s="11" t="s">
        <v>2536</v>
      </c>
      <c r="D262" s="10" t="s">
        <v>2537</v>
      </c>
      <c r="E262" s="11" t="s">
        <v>2538</v>
      </c>
      <c r="F262" s="10" t="s">
        <v>2539</v>
      </c>
      <c r="G262" s="10" t="s">
        <v>2539</v>
      </c>
      <c r="H262" s="10" t="s">
        <v>52</v>
      </c>
      <c r="I262" s="10" t="s">
        <v>23</v>
      </c>
      <c r="J262" s="10" t="s">
        <v>1773</v>
      </c>
      <c r="K262" s="10" t="s">
        <v>2540</v>
      </c>
      <c r="M262" s="12" t="s">
        <v>2541</v>
      </c>
      <c r="N262" s="12" t="s">
        <v>2542</v>
      </c>
      <c r="O262" s="12" t="s">
        <v>2543</v>
      </c>
    </row>
    <row r="263" ht="22.5" customHeight="1">
      <c r="A263" s="9">
        <v>46159.672749861114</v>
      </c>
      <c r="B263" s="10" t="s">
        <v>2373</v>
      </c>
      <c r="C263" s="11" t="s">
        <v>2374</v>
      </c>
      <c r="D263" s="10" t="s">
        <v>2544</v>
      </c>
      <c r="E263" s="11" t="s">
        <v>2376</v>
      </c>
      <c r="F263" s="10" t="s">
        <v>2545</v>
      </c>
      <c r="G263" s="10" t="s">
        <v>2545</v>
      </c>
      <c r="H263" s="10" t="s">
        <v>52</v>
      </c>
      <c r="I263" s="10" t="s">
        <v>23</v>
      </c>
      <c r="J263" s="10" t="s">
        <v>2327</v>
      </c>
      <c r="K263" s="10" t="s">
        <v>2379</v>
      </c>
      <c r="M263" s="12" t="s">
        <v>2546</v>
      </c>
      <c r="N263" s="12" t="s">
        <v>2547</v>
      </c>
      <c r="O263" s="12" t="s">
        <v>2548</v>
      </c>
    </row>
  </sheetData>
  <hyperlinks>
    <hyperlink r:id="rId1" ref="L3"/>
    <hyperlink r:id="rId2" ref="M3"/>
    <hyperlink r:id="rId3" ref="N3"/>
    <hyperlink r:id="rId4" ref="L4"/>
    <hyperlink r:id="rId5" ref="N4"/>
    <hyperlink r:id="rId6" ref="L5"/>
    <hyperlink r:id="rId7" ref="M5"/>
    <hyperlink r:id="rId8" ref="N5"/>
    <hyperlink r:id="rId9" ref="M6"/>
    <hyperlink r:id="rId10" ref="N6"/>
    <hyperlink r:id="rId11" ref="L7"/>
    <hyperlink r:id="rId12" ref="M7"/>
    <hyperlink r:id="rId13" ref="N7"/>
    <hyperlink r:id="rId14" ref="M8"/>
    <hyperlink r:id="rId15" ref="N8"/>
    <hyperlink r:id="rId16" ref="L9"/>
    <hyperlink r:id="rId17" ref="M9"/>
    <hyperlink r:id="rId18" ref="N9"/>
    <hyperlink r:id="rId19" ref="L10"/>
    <hyperlink r:id="rId20" ref="M10"/>
    <hyperlink r:id="rId21" ref="N10"/>
    <hyperlink r:id="rId22" ref="L11"/>
    <hyperlink r:id="rId23" ref="N11"/>
    <hyperlink r:id="rId24" ref="L12"/>
    <hyperlink r:id="rId25" ref="M12"/>
    <hyperlink r:id="rId26" ref="N12"/>
    <hyperlink r:id="rId27" ref="L13"/>
    <hyperlink r:id="rId28" ref="N13"/>
    <hyperlink r:id="rId29" ref="L14"/>
    <hyperlink r:id="rId30" ref="N14"/>
    <hyperlink r:id="rId31" ref="L15"/>
    <hyperlink r:id="rId32" ref="M15"/>
    <hyperlink r:id="rId33" ref="N15"/>
    <hyperlink r:id="rId34" ref="O15"/>
    <hyperlink r:id="rId35" ref="L16"/>
    <hyperlink r:id="rId36" ref="M16"/>
    <hyperlink r:id="rId37" ref="N16"/>
    <hyperlink r:id="rId38" ref="O16"/>
    <hyperlink r:id="rId39" ref="L17"/>
    <hyperlink r:id="rId40" ref="M17"/>
    <hyperlink r:id="rId41" ref="N17"/>
    <hyperlink r:id="rId42" ref="O17"/>
    <hyperlink r:id="rId43" ref="L18"/>
    <hyperlink r:id="rId44" ref="M18"/>
    <hyperlink r:id="rId45" ref="N18"/>
    <hyperlink r:id="rId46" ref="O18"/>
    <hyperlink r:id="rId47" ref="L19"/>
    <hyperlink r:id="rId48" ref="M19"/>
    <hyperlink r:id="rId49" ref="N19"/>
    <hyperlink r:id="rId50" ref="O19"/>
    <hyperlink r:id="rId51" ref="M20"/>
    <hyperlink r:id="rId52" ref="N20"/>
    <hyperlink r:id="rId53" ref="O20"/>
    <hyperlink r:id="rId54" ref="L21"/>
    <hyperlink r:id="rId55" ref="M21"/>
    <hyperlink r:id="rId56" ref="N21"/>
    <hyperlink r:id="rId57" ref="O21"/>
    <hyperlink r:id="rId58" ref="L22"/>
    <hyperlink r:id="rId59" ref="M22"/>
    <hyperlink r:id="rId60" ref="N22"/>
    <hyperlink r:id="rId61" ref="O22"/>
    <hyperlink r:id="rId62" ref="L23"/>
    <hyperlink r:id="rId63" ref="M23"/>
    <hyperlink r:id="rId64" ref="N23"/>
    <hyperlink r:id="rId65" ref="O23"/>
    <hyperlink r:id="rId66" ref="L24"/>
    <hyperlink r:id="rId67" ref="M24"/>
    <hyperlink r:id="rId68" ref="N24"/>
    <hyperlink r:id="rId69" ref="O24"/>
    <hyperlink r:id="rId70" ref="L25"/>
    <hyperlink r:id="rId71" ref="M25"/>
    <hyperlink r:id="rId72" ref="N25"/>
    <hyperlink r:id="rId73" ref="O25"/>
    <hyperlink r:id="rId74" ref="L26"/>
    <hyperlink r:id="rId75" ref="M26"/>
    <hyperlink r:id="rId76" ref="N26"/>
    <hyperlink r:id="rId77" ref="O26"/>
    <hyperlink r:id="rId78" ref="L27"/>
    <hyperlink r:id="rId79" ref="M27"/>
    <hyperlink r:id="rId80" ref="N27"/>
    <hyperlink r:id="rId81" ref="O27"/>
    <hyperlink r:id="rId82" ref="L28"/>
    <hyperlink r:id="rId83" ref="M28"/>
    <hyperlink r:id="rId84" ref="N28"/>
    <hyperlink r:id="rId85" ref="O28"/>
    <hyperlink r:id="rId86" ref="L29"/>
    <hyperlink r:id="rId87" ref="M29"/>
    <hyperlink r:id="rId88" ref="N29"/>
    <hyperlink r:id="rId89" ref="O29"/>
    <hyperlink r:id="rId90" ref="L30"/>
    <hyperlink r:id="rId91" ref="M30"/>
    <hyperlink r:id="rId92" ref="N30"/>
    <hyperlink r:id="rId93" ref="O30"/>
    <hyperlink r:id="rId94" ref="L31"/>
    <hyperlink r:id="rId95" ref="M31"/>
    <hyperlink r:id="rId96" ref="N31"/>
    <hyperlink r:id="rId97" ref="O31"/>
    <hyperlink r:id="rId98" ref="L32"/>
    <hyperlink r:id="rId99" ref="M32"/>
    <hyperlink r:id="rId100" ref="N32"/>
    <hyperlink r:id="rId101" ref="O32"/>
    <hyperlink r:id="rId102" ref="M33"/>
    <hyperlink r:id="rId103" ref="N33"/>
    <hyperlink r:id="rId104" ref="O33"/>
    <hyperlink r:id="rId105" ref="M34"/>
    <hyperlink r:id="rId106" ref="N34"/>
    <hyperlink r:id="rId107" ref="O34"/>
    <hyperlink r:id="rId108" ref="L35"/>
    <hyperlink r:id="rId109" ref="M35"/>
    <hyperlink r:id="rId110" ref="N35"/>
    <hyperlink r:id="rId111" ref="O35"/>
    <hyperlink r:id="rId112" ref="M36"/>
    <hyperlink r:id="rId113" ref="N36"/>
    <hyperlink r:id="rId114" ref="O36"/>
    <hyperlink r:id="rId115" ref="L37"/>
    <hyperlink r:id="rId116" ref="M37"/>
    <hyperlink r:id="rId117" ref="N37"/>
    <hyperlink r:id="rId118" ref="O37"/>
    <hyperlink r:id="rId119" ref="L38"/>
    <hyperlink r:id="rId120" ref="M38"/>
    <hyperlink r:id="rId121" ref="N38"/>
    <hyperlink r:id="rId122" ref="O38"/>
    <hyperlink r:id="rId123" ref="M39"/>
    <hyperlink r:id="rId124" ref="N39"/>
    <hyperlink r:id="rId125" ref="O39"/>
    <hyperlink r:id="rId126" ref="M40"/>
    <hyperlink r:id="rId127" ref="N40"/>
    <hyperlink r:id="rId128" ref="O40"/>
    <hyperlink r:id="rId129" ref="L41"/>
    <hyperlink r:id="rId130" ref="M41"/>
    <hyperlink r:id="rId131" ref="N41"/>
    <hyperlink r:id="rId132" ref="O41"/>
    <hyperlink r:id="rId133" ref="M42"/>
    <hyperlink r:id="rId134" ref="N42"/>
    <hyperlink r:id="rId135" ref="O42"/>
    <hyperlink r:id="rId136" ref="L43"/>
    <hyperlink r:id="rId137" ref="M43"/>
    <hyperlink r:id="rId138" ref="N43"/>
    <hyperlink r:id="rId139" ref="O43"/>
    <hyperlink r:id="rId140" ref="M44"/>
    <hyperlink r:id="rId141" ref="N44"/>
    <hyperlink r:id="rId142" ref="O44"/>
    <hyperlink r:id="rId143" ref="L45"/>
    <hyperlink r:id="rId144" ref="M45"/>
    <hyperlink r:id="rId145" ref="N45"/>
    <hyperlink r:id="rId146" ref="O45"/>
    <hyperlink r:id="rId147" ref="L46"/>
    <hyperlink r:id="rId148" ref="M46"/>
    <hyperlink r:id="rId149" ref="N46"/>
    <hyperlink r:id="rId150" ref="O46"/>
    <hyperlink r:id="rId151" ref="M47"/>
    <hyperlink r:id="rId152" ref="N47"/>
    <hyperlink r:id="rId153" ref="O47"/>
    <hyperlink r:id="rId154" ref="L48"/>
    <hyperlink r:id="rId155" ref="M48"/>
    <hyperlink r:id="rId156" ref="N48"/>
    <hyperlink r:id="rId157" ref="O48"/>
    <hyperlink r:id="rId158" ref="L49"/>
    <hyperlink r:id="rId159" ref="M49"/>
    <hyperlink r:id="rId160" ref="N49"/>
    <hyperlink r:id="rId161" ref="O49"/>
    <hyperlink r:id="rId162" ref="L50"/>
    <hyperlink r:id="rId163" ref="M50"/>
    <hyperlink r:id="rId164" ref="N50"/>
    <hyperlink r:id="rId165" ref="O50"/>
    <hyperlink r:id="rId166" ref="M51"/>
    <hyperlink r:id="rId167" ref="N51"/>
    <hyperlink r:id="rId168" ref="O51"/>
    <hyperlink r:id="rId169" ref="M52"/>
    <hyperlink r:id="rId170" ref="N52"/>
    <hyperlink r:id="rId171" ref="O52"/>
    <hyperlink r:id="rId172" ref="L53"/>
    <hyperlink r:id="rId173" ref="M53"/>
    <hyperlink r:id="rId174" ref="N53"/>
    <hyperlink r:id="rId175" ref="O53"/>
    <hyperlink r:id="rId176" ref="L54"/>
    <hyperlink r:id="rId177" ref="M54"/>
    <hyperlink r:id="rId178" ref="N54"/>
    <hyperlink r:id="rId179" ref="O54"/>
    <hyperlink r:id="rId180" ref="L55"/>
    <hyperlink r:id="rId181" ref="M55"/>
    <hyperlink r:id="rId182" ref="N55"/>
    <hyperlink r:id="rId183" ref="O55"/>
    <hyperlink r:id="rId184" ref="L56"/>
    <hyperlink r:id="rId185" ref="M56"/>
    <hyperlink r:id="rId186" ref="N56"/>
    <hyperlink r:id="rId187" ref="O56"/>
    <hyperlink r:id="rId188" ref="L57"/>
    <hyperlink r:id="rId189" ref="M57"/>
    <hyperlink r:id="rId190" ref="N57"/>
    <hyperlink r:id="rId191" ref="O57"/>
    <hyperlink r:id="rId192" ref="L58"/>
    <hyperlink r:id="rId193" ref="M58"/>
    <hyperlink r:id="rId194" ref="N58"/>
    <hyperlink r:id="rId195" ref="O58"/>
    <hyperlink r:id="rId196" ref="M59"/>
    <hyperlink r:id="rId197" ref="N59"/>
    <hyperlink r:id="rId198" ref="O59"/>
    <hyperlink r:id="rId199" ref="M60"/>
    <hyperlink r:id="rId200" ref="N60"/>
    <hyperlink r:id="rId201" ref="O60"/>
    <hyperlink r:id="rId202" ref="L61"/>
    <hyperlink r:id="rId203" ref="M61"/>
    <hyperlink r:id="rId204" ref="N61"/>
    <hyperlink r:id="rId205" ref="O61"/>
    <hyperlink r:id="rId206" ref="L62"/>
    <hyperlink r:id="rId207" ref="M62"/>
    <hyperlink r:id="rId208" ref="N62"/>
    <hyperlink r:id="rId209" ref="O62"/>
    <hyperlink r:id="rId210" ref="L63"/>
    <hyperlink r:id="rId211" ref="M63"/>
    <hyperlink r:id="rId212" ref="N63"/>
    <hyperlink r:id="rId213" ref="O63"/>
    <hyperlink r:id="rId214" ref="L64"/>
    <hyperlink r:id="rId215" ref="M64"/>
    <hyperlink r:id="rId216" ref="N64"/>
    <hyperlink r:id="rId217" ref="O64"/>
    <hyperlink r:id="rId218" ref="M65"/>
    <hyperlink r:id="rId219" ref="N65"/>
    <hyperlink r:id="rId220" ref="O65"/>
    <hyperlink r:id="rId221" ref="L66"/>
    <hyperlink r:id="rId222" ref="M66"/>
    <hyperlink r:id="rId223" ref="N66"/>
    <hyperlink r:id="rId224" ref="O66"/>
    <hyperlink r:id="rId225" ref="L67"/>
    <hyperlink r:id="rId226" ref="M67"/>
    <hyperlink r:id="rId227" ref="N67"/>
    <hyperlink r:id="rId228" ref="O67"/>
    <hyperlink r:id="rId229" ref="L68"/>
    <hyperlink r:id="rId230" ref="M68"/>
    <hyperlink r:id="rId231" ref="N68"/>
    <hyperlink r:id="rId232" ref="O68"/>
    <hyperlink r:id="rId233" ref="M69"/>
    <hyperlink r:id="rId234" ref="N69"/>
    <hyperlink r:id="rId235" ref="O69"/>
    <hyperlink r:id="rId236" ref="M70"/>
    <hyperlink r:id="rId237" ref="N70"/>
    <hyperlink r:id="rId238" ref="O70"/>
    <hyperlink r:id="rId239" ref="L71"/>
    <hyperlink r:id="rId240" ref="M71"/>
    <hyperlink r:id="rId241" ref="N71"/>
    <hyperlink r:id="rId242" ref="O71"/>
    <hyperlink r:id="rId243" ref="L72"/>
    <hyperlink r:id="rId244" ref="M72"/>
    <hyperlink r:id="rId245" ref="N72"/>
    <hyperlink r:id="rId246" ref="O72"/>
    <hyperlink r:id="rId247" ref="L73"/>
    <hyperlink r:id="rId248" ref="M73"/>
    <hyperlink r:id="rId249" ref="N73"/>
    <hyperlink r:id="rId250" ref="O73"/>
    <hyperlink r:id="rId251" ref="L74"/>
    <hyperlink r:id="rId252" ref="M74"/>
    <hyperlink r:id="rId253" ref="N74"/>
    <hyperlink r:id="rId254" ref="O74"/>
    <hyperlink r:id="rId255" ref="L75"/>
    <hyperlink r:id="rId256" ref="M75"/>
    <hyperlink r:id="rId257" ref="N75"/>
    <hyperlink r:id="rId258" ref="O75"/>
    <hyperlink r:id="rId259" ref="M76"/>
    <hyperlink r:id="rId260" ref="N76"/>
    <hyperlink r:id="rId261" ref="O76"/>
    <hyperlink r:id="rId262" ref="L77"/>
    <hyperlink r:id="rId263" ref="M77"/>
    <hyperlink r:id="rId264" ref="N77"/>
    <hyperlink r:id="rId265" ref="O77"/>
    <hyperlink r:id="rId266" ref="L78"/>
    <hyperlink r:id="rId267" ref="M78"/>
    <hyperlink r:id="rId268" ref="N78"/>
    <hyperlink r:id="rId269" ref="O78"/>
    <hyperlink r:id="rId270" ref="L79"/>
    <hyperlink r:id="rId271" ref="M79"/>
    <hyperlink r:id="rId272" ref="N79"/>
    <hyperlink r:id="rId273" ref="O79"/>
    <hyperlink r:id="rId274" ref="M80"/>
    <hyperlink r:id="rId275" ref="N80"/>
    <hyperlink r:id="rId276" ref="O80"/>
    <hyperlink r:id="rId277" ref="M81"/>
    <hyperlink r:id="rId278" ref="N81"/>
    <hyperlink r:id="rId279" ref="O81"/>
    <hyperlink r:id="rId280" ref="M82"/>
    <hyperlink r:id="rId281" ref="N82"/>
    <hyperlink r:id="rId282" ref="O82"/>
    <hyperlink r:id="rId283" ref="L83"/>
    <hyperlink r:id="rId284" ref="M83"/>
    <hyperlink r:id="rId285" ref="N83"/>
    <hyperlink r:id="rId286" ref="O83"/>
    <hyperlink r:id="rId287" ref="L84"/>
    <hyperlink r:id="rId288" ref="M84"/>
    <hyperlink r:id="rId289" ref="N84"/>
    <hyperlink r:id="rId290" ref="O84"/>
    <hyperlink r:id="rId291" ref="L85"/>
    <hyperlink r:id="rId292" ref="M85"/>
    <hyperlink r:id="rId293" ref="N85"/>
    <hyperlink r:id="rId294" ref="O85"/>
    <hyperlink r:id="rId295" ref="L86"/>
    <hyperlink r:id="rId296" ref="M86"/>
    <hyperlink r:id="rId297" ref="N86"/>
    <hyperlink r:id="rId298" ref="O86"/>
    <hyperlink r:id="rId299" ref="L87"/>
    <hyperlink r:id="rId300" ref="M87"/>
    <hyperlink r:id="rId301" ref="N87"/>
    <hyperlink r:id="rId302" ref="O87"/>
    <hyperlink r:id="rId303" ref="M88"/>
    <hyperlink r:id="rId304" ref="N88"/>
    <hyperlink r:id="rId305" ref="O88"/>
    <hyperlink r:id="rId306" ref="L89"/>
    <hyperlink r:id="rId307" ref="M89"/>
    <hyperlink r:id="rId308" ref="N89"/>
    <hyperlink r:id="rId309" ref="O89"/>
    <hyperlink r:id="rId310" ref="L90"/>
    <hyperlink r:id="rId311" ref="M90"/>
    <hyperlink r:id="rId312" ref="N90"/>
    <hyperlink r:id="rId313" ref="O90"/>
    <hyperlink r:id="rId314" ref="L91"/>
    <hyperlink r:id="rId315" ref="M91"/>
    <hyperlink r:id="rId316" ref="N91"/>
    <hyperlink r:id="rId317" ref="O91"/>
    <hyperlink r:id="rId318" ref="L92"/>
    <hyperlink r:id="rId319" ref="M92"/>
    <hyperlink r:id="rId320" ref="N92"/>
    <hyperlink r:id="rId321" ref="O92"/>
    <hyperlink r:id="rId322" ref="M93"/>
    <hyperlink r:id="rId323" ref="N93"/>
    <hyperlink r:id="rId324" ref="O93"/>
    <hyperlink r:id="rId325" ref="L94"/>
    <hyperlink r:id="rId326" ref="M94"/>
    <hyperlink r:id="rId327" ref="N94"/>
    <hyperlink r:id="rId328" ref="O94"/>
    <hyperlink r:id="rId329" ref="L95"/>
    <hyperlink r:id="rId330" ref="M95"/>
    <hyperlink r:id="rId331" ref="N95"/>
    <hyperlink r:id="rId332" ref="O95"/>
    <hyperlink r:id="rId333" ref="M96"/>
    <hyperlink r:id="rId334" ref="N96"/>
    <hyperlink r:id="rId335" ref="O96"/>
    <hyperlink r:id="rId336" ref="L97"/>
    <hyperlink r:id="rId337" ref="M97"/>
    <hyperlink r:id="rId338" ref="N97"/>
    <hyperlink r:id="rId339" ref="O97"/>
    <hyperlink r:id="rId340" ref="L98"/>
    <hyperlink r:id="rId341" ref="M98"/>
    <hyperlink r:id="rId342" ref="N98"/>
    <hyperlink r:id="rId343" ref="O98"/>
    <hyperlink r:id="rId344" ref="L99"/>
    <hyperlink r:id="rId345" ref="M99"/>
    <hyperlink r:id="rId346" ref="N99"/>
    <hyperlink r:id="rId347" ref="O99"/>
    <hyperlink r:id="rId348" ref="L100"/>
    <hyperlink r:id="rId349" ref="M100"/>
    <hyperlink r:id="rId350" ref="N100"/>
    <hyperlink r:id="rId351" ref="O100"/>
    <hyperlink r:id="rId352" ref="L101"/>
    <hyperlink r:id="rId353" ref="M101"/>
    <hyperlink r:id="rId354" ref="N101"/>
    <hyperlink r:id="rId355" ref="O101"/>
    <hyperlink r:id="rId356" ref="M102"/>
    <hyperlink r:id="rId357" ref="N102"/>
    <hyperlink r:id="rId358" ref="O102"/>
    <hyperlink r:id="rId359" ref="L103"/>
    <hyperlink r:id="rId360" ref="M103"/>
    <hyperlink r:id="rId361" ref="N103"/>
    <hyperlink r:id="rId362" ref="O103"/>
    <hyperlink r:id="rId363" ref="L104"/>
    <hyperlink r:id="rId364" ref="M104"/>
    <hyperlink r:id="rId365" ref="N104"/>
    <hyperlink r:id="rId366" ref="O104"/>
    <hyperlink r:id="rId367" ref="L105"/>
    <hyperlink r:id="rId368" ref="M105"/>
    <hyperlink r:id="rId369" ref="N105"/>
    <hyperlink r:id="rId370" ref="O105"/>
    <hyperlink r:id="rId371" ref="L106"/>
    <hyperlink r:id="rId372" ref="M106"/>
    <hyperlink r:id="rId373" ref="N106"/>
    <hyperlink r:id="rId374" ref="O106"/>
    <hyperlink r:id="rId375" ref="L107"/>
    <hyperlink r:id="rId376" ref="M107"/>
    <hyperlink r:id="rId377" ref="N107"/>
    <hyperlink r:id="rId378" ref="O107"/>
    <hyperlink r:id="rId379" ref="L108"/>
    <hyperlink r:id="rId380" ref="M108"/>
    <hyperlink r:id="rId381" ref="N108"/>
    <hyperlink r:id="rId382" ref="O108"/>
    <hyperlink r:id="rId383" ref="L109"/>
    <hyperlink r:id="rId384" ref="M109"/>
    <hyperlink r:id="rId385" ref="N109"/>
    <hyperlink r:id="rId386" ref="O109"/>
    <hyperlink r:id="rId387" ref="M110"/>
    <hyperlink r:id="rId388" ref="N110"/>
    <hyperlink r:id="rId389" ref="O110"/>
    <hyperlink r:id="rId390" ref="L111"/>
    <hyperlink r:id="rId391" ref="M111"/>
    <hyperlink r:id="rId392" ref="N111"/>
    <hyperlink r:id="rId393" ref="O111"/>
    <hyperlink r:id="rId394" ref="L112"/>
    <hyperlink r:id="rId395" ref="M112"/>
    <hyperlink r:id="rId396" ref="N112"/>
    <hyperlink r:id="rId397" ref="O112"/>
    <hyperlink r:id="rId398" ref="L113"/>
    <hyperlink r:id="rId399" ref="M113"/>
    <hyperlink r:id="rId400" ref="N113"/>
    <hyperlink r:id="rId401" ref="O113"/>
    <hyperlink r:id="rId402" ref="M114"/>
    <hyperlink r:id="rId403" ref="N114"/>
    <hyperlink r:id="rId404" ref="O114"/>
    <hyperlink r:id="rId405" ref="M115"/>
    <hyperlink r:id="rId406" ref="N115"/>
    <hyperlink r:id="rId407" ref="O115"/>
    <hyperlink r:id="rId408" ref="L116"/>
    <hyperlink r:id="rId409" ref="M116"/>
    <hyperlink r:id="rId410" ref="N116"/>
    <hyperlink r:id="rId411" ref="O116"/>
    <hyperlink r:id="rId412" ref="L117"/>
    <hyperlink r:id="rId413" ref="M117"/>
    <hyperlink r:id="rId414" ref="N117"/>
    <hyperlink r:id="rId415" ref="O117"/>
    <hyperlink r:id="rId416" ref="M118"/>
    <hyperlink r:id="rId417" ref="N118"/>
    <hyperlink r:id="rId418" ref="O118"/>
    <hyperlink r:id="rId419" ref="L119"/>
    <hyperlink r:id="rId420" ref="M119"/>
    <hyperlink r:id="rId421" ref="N119"/>
    <hyperlink r:id="rId422" ref="O119"/>
    <hyperlink r:id="rId423" ref="L120"/>
    <hyperlink r:id="rId424" ref="M120"/>
    <hyperlink r:id="rId425" ref="N120"/>
    <hyperlink r:id="rId426" ref="O120"/>
    <hyperlink r:id="rId427" ref="L121"/>
    <hyperlink r:id="rId428" ref="M121"/>
    <hyperlink r:id="rId429" ref="N121"/>
    <hyperlink r:id="rId430" ref="O121"/>
    <hyperlink r:id="rId431" ref="L122"/>
    <hyperlink r:id="rId432" ref="M122"/>
    <hyperlink r:id="rId433" ref="N122"/>
    <hyperlink r:id="rId434" ref="O122"/>
    <hyperlink r:id="rId435" ref="L123"/>
    <hyperlink r:id="rId436" ref="M123"/>
    <hyperlink r:id="rId437" ref="N123"/>
    <hyperlink r:id="rId438" ref="O123"/>
    <hyperlink r:id="rId439" ref="L124"/>
    <hyperlink r:id="rId440" ref="M124"/>
    <hyperlink r:id="rId441" ref="N124"/>
    <hyperlink r:id="rId442" ref="O124"/>
    <hyperlink r:id="rId443" ref="L125"/>
    <hyperlink r:id="rId444" ref="M125"/>
    <hyperlink r:id="rId445" ref="N125"/>
    <hyperlink r:id="rId446" ref="O125"/>
    <hyperlink r:id="rId447" ref="L126"/>
    <hyperlink r:id="rId448" ref="M126"/>
    <hyperlink r:id="rId449" ref="N126"/>
    <hyperlink r:id="rId450" ref="O126"/>
    <hyperlink r:id="rId451" ref="L127"/>
    <hyperlink r:id="rId452" ref="M127"/>
    <hyperlink r:id="rId453" ref="N127"/>
    <hyperlink r:id="rId454" ref="O127"/>
    <hyperlink r:id="rId455" ref="L128"/>
    <hyperlink r:id="rId456" ref="M128"/>
    <hyperlink r:id="rId457" ref="N128"/>
    <hyperlink r:id="rId458" ref="O128"/>
    <hyperlink r:id="rId459" ref="L129"/>
    <hyperlink r:id="rId460" ref="M129"/>
    <hyperlink r:id="rId461" ref="N129"/>
    <hyperlink r:id="rId462" ref="O129"/>
    <hyperlink r:id="rId463" ref="L130"/>
    <hyperlink r:id="rId464" ref="M130"/>
    <hyperlink r:id="rId465" ref="N130"/>
    <hyperlink r:id="rId466" ref="O130"/>
    <hyperlink r:id="rId467" ref="M131"/>
    <hyperlink r:id="rId468" ref="N131"/>
    <hyperlink r:id="rId469" ref="O131"/>
    <hyperlink r:id="rId470" ref="M132"/>
    <hyperlink r:id="rId471" ref="N132"/>
    <hyperlink r:id="rId472" ref="O132"/>
    <hyperlink r:id="rId473" ref="L133"/>
    <hyperlink r:id="rId474" ref="M133"/>
    <hyperlink r:id="rId475" ref="N133"/>
    <hyperlink r:id="rId476" ref="O133"/>
    <hyperlink r:id="rId477" ref="L134"/>
    <hyperlink r:id="rId478" ref="M134"/>
    <hyperlink r:id="rId479" ref="N134"/>
    <hyperlink r:id="rId480" ref="O134"/>
    <hyperlink r:id="rId481" ref="L135"/>
    <hyperlink r:id="rId482" ref="M135"/>
    <hyperlink r:id="rId483" ref="N135"/>
    <hyperlink r:id="rId484" ref="O135"/>
    <hyperlink r:id="rId485" ref="L136"/>
    <hyperlink r:id="rId486" ref="M136"/>
    <hyperlink r:id="rId487" ref="N136"/>
    <hyperlink r:id="rId488" ref="O136"/>
    <hyperlink r:id="rId489" ref="L137"/>
    <hyperlink r:id="rId490" ref="M137"/>
    <hyperlink r:id="rId491" ref="N137"/>
    <hyperlink r:id="rId492" ref="O137"/>
    <hyperlink r:id="rId493" ref="L138"/>
    <hyperlink r:id="rId494" ref="M138"/>
    <hyperlink r:id="rId495" ref="N138"/>
    <hyperlink r:id="rId496" ref="O138"/>
    <hyperlink r:id="rId497" ref="L139"/>
    <hyperlink r:id="rId498" ref="M139"/>
    <hyperlink r:id="rId499" ref="N139"/>
    <hyperlink r:id="rId500" ref="O139"/>
    <hyperlink r:id="rId501" ref="L140"/>
    <hyperlink r:id="rId502" ref="M140"/>
    <hyperlink r:id="rId503" ref="N140"/>
    <hyperlink r:id="rId504" ref="O140"/>
    <hyperlink r:id="rId505" ref="M141"/>
    <hyperlink r:id="rId506" ref="N141"/>
    <hyperlink r:id="rId507" ref="O141"/>
    <hyperlink r:id="rId508" ref="L142"/>
    <hyperlink r:id="rId509" ref="M142"/>
    <hyperlink r:id="rId510" ref="N142"/>
    <hyperlink r:id="rId511" ref="O142"/>
    <hyperlink r:id="rId512" ref="M143"/>
    <hyperlink r:id="rId513" ref="N143"/>
    <hyperlink r:id="rId514" ref="O143"/>
    <hyperlink r:id="rId515" ref="L144"/>
    <hyperlink r:id="rId516" ref="M144"/>
    <hyperlink r:id="rId517" ref="N144"/>
    <hyperlink r:id="rId518" ref="O144"/>
    <hyperlink r:id="rId519" ref="L145"/>
    <hyperlink r:id="rId520" ref="M145"/>
    <hyperlink r:id="rId521" ref="N145"/>
    <hyperlink r:id="rId522" ref="O145"/>
    <hyperlink r:id="rId523" ref="L146"/>
    <hyperlink r:id="rId524" ref="M146"/>
    <hyperlink r:id="rId525" ref="N146"/>
    <hyperlink r:id="rId526" ref="O146"/>
    <hyperlink r:id="rId527" ref="M147"/>
    <hyperlink r:id="rId528" ref="N147"/>
    <hyperlink r:id="rId529" ref="O147"/>
    <hyperlink r:id="rId530" ref="L148"/>
    <hyperlink r:id="rId531" ref="M148"/>
    <hyperlink r:id="rId532" ref="N148"/>
    <hyperlink r:id="rId533" ref="O148"/>
    <hyperlink r:id="rId534" ref="L149"/>
    <hyperlink r:id="rId535" ref="M149"/>
    <hyperlink r:id="rId536" ref="N149"/>
    <hyperlink r:id="rId537" ref="O149"/>
    <hyperlink r:id="rId538" ref="L150"/>
    <hyperlink r:id="rId539" ref="M150"/>
    <hyperlink r:id="rId540" ref="N150"/>
    <hyperlink r:id="rId541" ref="O150"/>
    <hyperlink r:id="rId542" ref="L151"/>
    <hyperlink r:id="rId543" ref="M151"/>
    <hyperlink r:id="rId544" ref="N151"/>
    <hyperlink r:id="rId545" ref="O151"/>
    <hyperlink r:id="rId546" ref="L152"/>
    <hyperlink r:id="rId547" ref="M152"/>
    <hyperlink r:id="rId548" ref="N152"/>
    <hyperlink r:id="rId549" ref="O152"/>
    <hyperlink r:id="rId550" ref="L153"/>
    <hyperlink r:id="rId551" ref="M153"/>
    <hyperlink r:id="rId552" ref="N153"/>
    <hyperlink r:id="rId553" ref="O153"/>
    <hyperlink r:id="rId554" ref="M154"/>
    <hyperlink r:id="rId555" ref="N154"/>
    <hyperlink r:id="rId556" ref="O154"/>
    <hyperlink r:id="rId557" ref="L155"/>
    <hyperlink r:id="rId558" ref="M155"/>
    <hyperlink r:id="rId559" ref="N155"/>
    <hyperlink r:id="rId560" ref="O155"/>
    <hyperlink r:id="rId561" ref="L156"/>
    <hyperlink r:id="rId562" ref="M156"/>
    <hyperlink r:id="rId563" ref="N156"/>
    <hyperlink r:id="rId564" ref="O156"/>
    <hyperlink r:id="rId565" ref="L157"/>
    <hyperlink r:id="rId566" ref="M157"/>
    <hyperlink r:id="rId567" ref="N157"/>
    <hyperlink r:id="rId568" ref="O157"/>
    <hyperlink r:id="rId569" ref="M158"/>
    <hyperlink r:id="rId570" ref="N158"/>
    <hyperlink r:id="rId571" ref="O158"/>
    <hyperlink r:id="rId572" ref="M159"/>
    <hyperlink r:id="rId573" ref="N159"/>
    <hyperlink r:id="rId574" ref="O159"/>
    <hyperlink r:id="rId575" ref="M160"/>
    <hyperlink r:id="rId576" ref="N160"/>
    <hyperlink r:id="rId577" ref="O160"/>
    <hyperlink r:id="rId578" ref="L161"/>
    <hyperlink r:id="rId579" ref="M161"/>
    <hyperlink r:id="rId580" ref="N161"/>
    <hyperlink r:id="rId581" ref="O161"/>
    <hyperlink r:id="rId582" ref="L162"/>
    <hyperlink r:id="rId583" ref="M162"/>
    <hyperlink r:id="rId584" ref="N162"/>
    <hyperlink r:id="rId585" ref="O162"/>
    <hyperlink r:id="rId586" ref="L163"/>
    <hyperlink r:id="rId587" ref="M163"/>
    <hyperlink r:id="rId588" ref="N163"/>
    <hyperlink r:id="rId589" ref="O163"/>
    <hyperlink r:id="rId590" ref="L164"/>
    <hyperlink r:id="rId591" ref="M164"/>
    <hyperlink r:id="rId592" ref="N164"/>
    <hyperlink r:id="rId593" ref="O164"/>
    <hyperlink r:id="rId594" ref="L165"/>
    <hyperlink r:id="rId595" ref="M165"/>
    <hyperlink r:id="rId596" ref="N165"/>
    <hyperlink r:id="rId597" ref="O165"/>
    <hyperlink r:id="rId598" ref="L166"/>
    <hyperlink r:id="rId599" ref="M166"/>
    <hyperlink r:id="rId600" ref="N166"/>
    <hyperlink r:id="rId601" ref="O166"/>
    <hyperlink r:id="rId602" ref="L167"/>
    <hyperlink r:id="rId603" ref="M167"/>
    <hyperlink r:id="rId604" ref="N167"/>
    <hyperlink r:id="rId605" ref="O167"/>
    <hyperlink r:id="rId606" ref="M168"/>
    <hyperlink r:id="rId607" ref="N168"/>
    <hyperlink r:id="rId608" ref="O168"/>
    <hyperlink r:id="rId609" ref="L169"/>
    <hyperlink r:id="rId610" ref="M169"/>
    <hyperlink r:id="rId611" ref="N169"/>
    <hyperlink r:id="rId612" ref="O169"/>
    <hyperlink r:id="rId613" ref="M170"/>
    <hyperlink r:id="rId614" ref="N170"/>
    <hyperlink r:id="rId615" ref="O170"/>
    <hyperlink r:id="rId616" ref="L171"/>
    <hyperlink r:id="rId617" ref="M171"/>
    <hyperlink r:id="rId618" ref="N171"/>
    <hyperlink r:id="rId619" ref="O171"/>
    <hyperlink r:id="rId620" ref="L172"/>
    <hyperlink r:id="rId621" ref="M172"/>
    <hyperlink r:id="rId622" ref="N172"/>
    <hyperlink r:id="rId623" ref="O172"/>
    <hyperlink r:id="rId624" ref="L173"/>
    <hyperlink r:id="rId625" ref="M173"/>
    <hyperlink r:id="rId626" ref="N173"/>
    <hyperlink r:id="rId627" ref="O173"/>
    <hyperlink r:id="rId628" ref="L174"/>
    <hyperlink r:id="rId629" ref="M174"/>
    <hyperlink r:id="rId630" ref="N174"/>
    <hyperlink r:id="rId631" ref="O174"/>
    <hyperlink r:id="rId632" ref="M175"/>
    <hyperlink r:id="rId633" ref="N175"/>
    <hyperlink r:id="rId634" ref="O175"/>
    <hyperlink r:id="rId635" ref="L176"/>
    <hyperlink r:id="rId636" ref="M176"/>
    <hyperlink r:id="rId637" ref="N176"/>
    <hyperlink r:id="rId638" ref="O176"/>
    <hyperlink r:id="rId639" ref="M178"/>
    <hyperlink r:id="rId640" ref="N178"/>
    <hyperlink r:id="rId641" ref="O178"/>
    <hyperlink r:id="rId642" ref="M179"/>
    <hyperlink r:id="rId643" ref="N179"/>
    <hyperlink r:id="rId644" ref="O179"/>
    <hyperlink r:id="rId645" ref="L180"/>
    <hyperlink r:id="rId646" ref="M180"/>
    <hyperlink r:id="rId647" ref="N180"/>
    <hyperlink r:id="rId648" ref="O180"/>
    <hyperlink r:id="rId649" ref="L181"/>
    <hyperlink r:id="rId650" ref="M181"/>
    <hyperlink r:id="rId651" ref="N181"/>
    <hyperlink r:id="rId652" ref="O181"/>
    <hyperlink r:id="rId653" ref="L182"/>
    <hyperlink r:id="rId654" ref="M182"/>
    <hyperlink r:id="rId655" ref="N182"/>
    <hyperlink r:id="rId656" ref="O182"/>
    <hyperlink r:id="rId657" ref="L183"/>
    <hyperlink r:id="rId658" ref="M183"/>
    <hyperlink r:id="rId659" ref="N183"/>
    <hyperlink r:id="rId660" ref="O183"/>
    <hyperlink r:id="rId661" ref="L184"/>
    <hyperlink r:id="rId662" ref="M184"/>
    <hyperlink r:id="rId663" ref="N184"/>
    <hyperlink r:id="rId664" ref="O184"/>
    <hyperlink r:id="rId665" ref="L185"/>
    <hyperlink r:id="rId666" ref="M185"/>
    <hyperlink r:id="rId667" ref="N185"/>
    <hyperlink r:id="rId668" ref="O185"/>
    <hyperlink r:id="rId669" ref="M186"/>
    <hyperlink r:id="rId670" ref="N186"/>
    <hyperlink r:id="rId671" ref="O186"/>
    <hyperlink r:id="rId672" ref="L187"/>
    <hyperlink r:id="rId673" ref="M187"/>
    <hyperlink r:id="rId674" ref="N187"/>
    <hyperlink r:id="rId675" ref="O187"/>
    <hyperlink r:id="rId676" ref="M188"/>
    <hyperlink r:id="rId677" ref="N188"/>
    <hyperlink r:id="rId678" ref="O188"/>
    <hyperlink r:id="rId679" ref="L189"/>
    <hyperlink r:id="rId680" ref="M189"/>
    <hyperlink r:id="rId681" ref="N189"/>
    <hyperlink r:id="rId682" ref="O189"/>
    <hyperlink r:id="rId683" ref="L190"/>
    <hyperlink r:id="rId684" ref="M190"/>
    <hyperlink r:id="rId685" ref="N190"/>
    <hyperlink r:id="rId686" ref="O190"/>
    <hyperlink r:id="rId687" ref="M191"/>
    <hyperlink r:id="rId688" ref="N191"/>
    <hyperlink r:id="rId689" ref="O191"/>
    <hyperlink r:id="rId690" ref="L192"/>
    <hyperlink r:id="rId691" ref="M192"/>
    <hyperlink r:id="rId692" ref="N192"/>
    <hyperlink r:id="rId693" ref="O192"/>
    <hyperlink r:id="rId694" ref="M193"/>
    <hyperlink r:id="rId695" ref="N193"/>
    <hyperlink r:id="rId696" ref="O193"/>
    <hyperlink r:id="rId697" ref="L194"/>
    <hyperlink r:id="rId698" ref="M194"/>
    <hyperlink r:id="rId699" ref="N194"/>
    <hyperlink r:id="rId700" ref="O194"/>
    <hyperlink r:id="rId701" ref="L195"/>
    <hyperlink r:id="rId702" ref="M195"/>
    <hyperlink r:id="rId703" ref="N195"/>
    <hyperlink r:id="rId704" ref="O195"/>
    <hyperlink r:id="rId705" ref="L196"/>
    <hyperlink r:id="rId706" ref="M196"/>
    <hyperlink r:id="rId707" ref="N196"/>
    <hyperlink r:id="rId708" ref="O196"/>
    <hyperlink r:id="rId709" ref="L197"/>
    <hyperlink r:id="rId710" ref="M197"/>
    <hyperlink r:id="rId711" ref="N197"/>
    <hyperlink r:id="rId712" ref="O197"/>
    <hyperlink r:id="rId713" ref="L198"/>
    <hyperlink r:id="rId714" ref="M198"/>
    <hyperlink r:id="rId715" ref="N198"/>
    <hyperlink r:id="rId716" ref="O198"/>
    <hyperlink r:id="rId717" ref="L199"/>
    <hyperlink r:id="rId718" ref="M199"/>
    <hyperlink r:id="rId719" ref="N199"/>
    <hyperlink r:id="rId720" ref="O199"/>
    <hyperlink r:id="rId721" ref="M200"/>
    <hyperlink r:id="rId722" ref="N200"/>
    <hyperlink r:id="rId723" ref="O200"/>
    <hyperlink r:id="rId724" ref="L201"/>
    <hyperlink r:id="rId725" ref="M201"/>
    <hyperlink r:id="rId726" ref="N201"/>
    <hyperlink r:id="rId727" ref="O201"/>
    <hyperlink r:id="rId728" ref="M202"/>
    <hyperlink r:id="rId729" ref="N202"/>
    <hyperlink r:id="rId730" ref="O202"/>
    <hyperlink r:id="rId731" ref="L203"/>
    <hyperlink r:id="rId732" ref="M203"/>
    <hyperlink r:id="rId733" ref="N203"/>
    <hyperlink r:id="rId734" ref="O203"/>
    <hyperlink r:id="rId735" ref="L204"/>
    <hyperlink r:id="rId736" ref="M204"/>
    <hyperlink r:id="rId737" ref="N204"/>
    <hyperlink r:id="rId738" ref="O204"/>
    <hyperlink r:id="rId739" ref="M205"/>
    <hyperlink r:id="rId740" ref="N205"/>
    <hyperlink r:id="rId741" ref="O205"/>
    <hyperlink r:id="rId742" ref="L206"/>
    <hyperlink r:id="rId743" ref="M206"/>
    <hyperlink r:id="rId744" ref="N206"/>
    <hyperlink r:id="rId745" ref="O206"/>
    <hyperlink r:id="rId746" ref="L207"/>
    <hyperlink r:id="rId747" ref="M207"/>
    <hyperlink r:id="rId748" ref="N207"/>
    <hyperlink r:id="rId749" ref="O207"/>
    <hyperlink r:id="rId750" ref="L208"/>
    <hyperlink r:id="rId751" ref="M208"/>
    <hyperlink r:id="rId752" ref="N208"/>
    <hyperlink r:id="rId753" ref="O208"/>
    <hyperlink r:id="rId754" ref="L209"/>
    <hyperlink r:id="rId755" ref="M209"/>
    <hyperlink r:id="rId756" ref="N209"/>
    <hyperlink r:id="rId757" ref="O209"/>
    <hyperlink r:id="rId758" ref="M210"/>
    <hyperlink r:id="rId759" ref="N210"/>
    <hyperlink r:id="rId760" ref="O210"/>
    <hyperlink r:id="rId761" ref="M211"/>
    <hyperlink r:id="rId762" ref="N211"/>
    <hyperlink r:id="rId763" ref="O211"/>
    <hyperlink r:id="rId764" ref="L212"/>
    <hyperlink r:id="rId765" ref="M212"/>
    <hyperlink r:id="rId766" ref="N212"/>
    <hyperlink r:id="rId767" ref="O212"/>
    <hyperlink r:id="rId768" ref="L213"/>
    <hyperlink r:id="rId769" ref="M213"/>
    <hyperlink r:id="rId770" ref="N213"/>
    <hyperlink r:id="rId771" ref="O213"/>
    <hyperlink r:id="rId772" ref="M214"/>
    <hyperlink r:id="rId773" ref="N214"/>
    <hyperlink r:id="rId774" ref="O214"/>
    <hyperlink r:id="rId775" ref="L215"/>
    <hyperlink r:id="rId776" ref="M215"/>
    <hyperlink r:id="rId777" ref="N215"/>
    <hyperlink r:id="rId778" ref="O215"/>
    <hyperlink r:id="rId779" ref="M216"/>
    <hyperlink r:id="rId780" ref="N216"/>
    <hyperlink r:id="rId781" ref="O216"/>
    <hyperlink r:id="rId782" ref="L217"/>
    <hyperlink r:id="rId783" ref="M217"/>
    <hyperlink r:id="rId784" ref="N217"/>
    <hyperlink r:id="rId785" ref="O217"/>
    <hyperlink r:id="rId786" ref="L218"/>
    <hyperlink r:id="rId787" ref="M218"/>
    <hyperlink r:id="rId788" ref="N218"/>
    <hyperlink r:id="rId789" ref="O218"/>
    <hyperlink r:id="rId790" ref="M219"/>
    <hyperlink r:id="rId791" ref="N219"/>
    <hyperlink r:id="rId792" ref="O219"/>
    <hyperlink r:id="rId793" ref="L220"/>
    <hyperlink r:id="rId794" ref="M220"/>
    <hyperlink r:id="rId795" ref="N220"/>
    <hyperlink r:id="rId796" ref="O220"/>
    <hyperlink r:id="rId797" ref="L221"/>
    <hyperlink r:id="rId798" ref="M221"/>
    <hyperlink r:id="rId799" ref="N221"/>
    <hyperlink r:id="rId800" ref="O221"/>
    <hyperlink r:id="rId801" ref="L222"/>
    <hyperlink r:id="rId802" ref="M222"/>
    <hyperlink r:id="rId803" ref="N222"/>
    <hyperlink r:id="rId804" ref="O222"/>
    <hyperlink r:id="rId805" ref="L223"/>
    <hyperlink r:id="rId806" ref="M223"/>
    <hyperlink r:id="rId807" ref="N223"/>
    <hyperlink r:id="rId808" ref="O223"/>
    <hyperlink r:id="rId809" ref="M224"/>
    <hyperlink r:id="rId810" ref="N224"/>
    <hyperlink r:id="rId811" ref="O224"/>
    <hyperlink r:id="rId812" ref="L225"/>
    <hyperlink r:id="rId813" ref="M225"/>
    <hyperlink r:id="rId814" ref="N225"/>
    <hyperlink r:id="rId815" ref="O225"/>
    <hyperlink r:id="rId816" ref="L226"/>
    <hyperlink r:id="rId817" ref="M226"/>
    <hyperlink r:id="rId818" ref="N226"/>
    <hyperlink r:id="rId819" ref="O226"/>
    <hyperlink r:id="rId820" ref="L227"/>
    <hyperlink r:id="rId821" ref="M227"/>
    <hyperlink r:id="rId822" ref="N227"/>
    <hyperlink r:id="rId823" ref="O227"/>
    <hyperlink r:id="rId824" ref="L228"/>
    <hyperlink r:id="rId825" ref="M228"/>
    <hyperlink r:id="rId826" ref="N228"/>
    <hyperlink r:id="rId827" ref="O228"/>
    <hyperlink r:id="rId828" ref="M229"/>
    <hyperlink r:id="rId829" ref="N229"/>
    <hyperlink r:id="rId830" ref="O229"/>
    <hyperlink r:id="rId831" ref="M230"/>
    <hyperlink r:id="rId832" ref="N230"/>
    <hyperlink r:id="rId833" ref="O230"/>
    <hyperlink r:id="rId834" ref="L231"/>
    <hyperlink r:id="rId835" ref="M231"/>
    <hyperlink r:id="rId836" ref="N231"/>
    <hyperlink r:id="rId837" ref="O231"/>
    <hyperlink r:id="rId838" ref="M232"/>
    <hyperlink r:id="rId839" ref="N232"/>
    <hyperlink r:id="rId840" ref="O232"/>
    <hyperlink r:id="rId841" ref="L233"/>
    <hyperlink r:id="rId842" ref="M233"/>
    <hyperlink r:id="rId843" ref="N233"/>
    <hyperlink r:id="rId844" ref="O233"/>
    <hyperlink r:id="rId845" ref="L234"/>
    <hyperlink r:id="rId846" ref="M234"/>
    <hyperlink r:id="rId847" ref="N234"/>
    <hyperlink r:id="rId848" ref="O234"/>
    <hyperlink r:id="rId849" ref="L235"/>
    <hyperlink r:id="rId850" ref="M235"/>
    <hyperlink r:id="rId851" ref="N235"/>
    <hyperlink r:id="rId852" ref="O235"/>
    <hyperlink r:id="rId853" ref="L236"/>
    <hyperlink r:id="rId854" ref="M236"/>
    <hyperlink r:id="rId855" ref="N236"/>
    <hyperlink r:id="rId856" ref="O236"/>
    <hyperlink r:id="rId857" ref="L237"/>
    <hyperlink r:id="rId858" ref="M237"/>
    <hyperlink r:id="rId859" ref="N237"/>
    <hyperlink r:id="rId860" ref="O237"/>
    <hyperlink r:id="rId861" ref="L238"/>
    <hyperlink r:id="rId862" ref="M238"/>
    <hyperlink r:id="rId863" ref="N238"/>
    <hyperlink r:id="rId864" ref="O238"/>
    <hyperlink r:id="rId865" ref="M239"/>
    <hyperlink r:id="rId866" ref="N239"/>
    <hyperlink r:id="rId867" ref="O239"/>
    <hyperlink r:id="rId868" ref="L240"/>
    <hyperlink r:id="rId869" ref="M240"/>
    <hyperlink r:id="rId870" ref="N240"/>
    <hyperlink r:id="rId871" ref="O240"/>
    <hyperlink r:id="rId872" ref="L241"/>
    <hyperlink r:id="rId873" ref="M241"/>
    <hyperlink r:id="rId874" ref="N241"/>
    <hyperlink r:id="rId875" ref="O241"/>
    <hyperlink r:id="rId876" ref="L242"/>
    <hyperlink r:id="rId877" ref="M242"/>
    <hyperlink r:id="rId878" ref="N242"/>
    <hyperlink r:id="rId879" ref="O242"/>
    <hyperlink r:id="rId880" ref="L243"/>
    <hyperlink r:id="rId881" ref="M243"/>
    <hyperlink r:id="rId882" ref="N243"/>
    <hyperlink r:id="rId883" ref="O243"/>
    <hyperlink r:id="rId884" ref="L244"/>
    <hyperlink r:id="rId885" ref="M244"/>
    <hyperlink r:id="rId886" ref="N244"/>
    <hyperlink r:id="rId887" ref="O244"/>
    <hyperlink r:id="rId888" ref="L245"/>
    <hyperlink r:id="rId889" ref="M245"/>
    <hyperlink r:id="rId890" ref="N245"/>
    <hyperlink r:id="rId891" ref="O245"/>
    <hyperlink r:id="rId892" ref="M246"/>
    <hyperlink r:id="rId893" ref="N246"/>
    <hyperlink r:id="rId894" ref="O246"/>
    <hyperlink r:id="rId895" ref="L247"/>
    <hyperlink r:id="rId896" ref="M247"/>
    <hyperlink r:id="rId897" ref="N247"/>
    <hyperlink r:id="rId898" ref="O247"/>
    <hyperlink r:id="rId899" ref="L248"/>
    <hyperlink r:id="rId900" ref="M248"/>
    <hyperlink r:id="rId901" ref="N248"/>
    <hyperlink r:id="rId902" ref="O248"/>
    <hyperlink r:id="rId903" ref="L249"/>
    <hyperlink r:id="rId904" ref="M249"/>
    <hyperlink r:id="rId905" ref="N249"/>
    <hyperlink r:id="rId906" ref="O249"/>
    <hyperlink r:id="rId907" ref="L250"/>
    <hyperlink r:id="rId908" ref="M250"/>
    <hyperlink r:id="rId909" ref="N250"/>
    <hyperlink r:id="rId910" ref="O250"/>
    <hyperlink r:id="rId911" ref="M251"/>
    <hyperlink r:id="rId912" ref="N251"/>
    <hyperlink r:id="rId913" ref="O251"/>
    <hyperlink r:id="rId914" ref="L252"/>
    <hyperlink r:id="rId915" ref="M252"/>
    <hyperlink r:id="rId916" ref="N252"/>
    <hyperlink r:id="rId917" ref="O252"/>
    <hyperlink r:id="rId918" ref="M253"/>
    <hyperlink r:id="rId919" ref="N253"/>
    <hyperlink r:id="rId920" ref="O253"/>
    <hyperlink r:id="rId921" ref="L254"/>
    <hyperlink r:id="rId922" ref="M254"/>
    <hyperlink r:id="rId923" ref="N254"/>
    <hyperlink r:id="rId924" ref="O254"/>
    <hyperlink r:id="rId925" ref="L255"/>
    <hyperlink r:id="rId926" ref="M255"/>
    <hyperlink r:id="rId927" ref="N255"/>
    <hyperlink r:id="rId928" ref="O255"/>
    <hyperlink r:id="rId929" ref="L256"/>
    <hyperlink r:id="rId930" ref="M256"/>
    <hyperlink r:id="rId931" ref="N256"/>
    <hyperlink r:id="rId932" ref="O256"/>
    <hyperlink r:id="rId933" ref="L257"/>
    <hyperlink r:id="rId934" ref="M257"/>
    <hyperlink r:id="rId935" ref="N257"/>
    <hyperlink r:id="rId936" ref="O257"/>
    <hyperlink r:id="rId937" ref="M258"/>
    <hyperlink r:id="rId938" ref="N258"/>
    <hyperlink r:id="rId939" ref="O258"/>
    <hyperlink r:id="rId940" ref="L259"/>
    <hyperlink r:id="rId941" ref="M259"/>
    <hyperlink r:id="rId942" ref="N259"/>
    <hyperlink r:id="rId943" ref="O259"/>
    <hyperlink r:id="rId944" ref="M260"/>
    <hyperlink r:id="rId945" ref="N260"/>
    <hyperlink r:id="rId946" ref="O260"/>
    <hyperlink r:id="rId947" ref="L261"/>
    <hyperlink r:id="rId948" ref="M261"/>
    <hyperlink r:id="rId949" ref="N261"/>
    <hyperlink r:id="rId950" ref="O261"/>
    <hyperlink r:id="rId951" ref="M262"/>
    <hyperlink r:id="rId952" ref="N262"/>
    <hyperlink r:id="rId953" ref="O262"/>
    <hyperlink r:id="rId954" ref="M263"/>
    <hyperlink r:id="rId955" ref="N263"/>
    <hyperlink r:id="rId956" ref="O263"/>
  </hyperlinks>
  <drawing r:id="rId957"/>
  <tableParts count="1">
    <tablePart r:id="rId9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38"/>
    <col customWidth="1" min="4" max="4" width="21.25"/>
  </cols>
  <sheetData>
    <row r="1">
      <c r="A1" s="15">
        <v>1.0</v>
      </c>
      <c r="B1" s="15" t="s">
        <v>2549</v>
      </c>
      <c r="C1" s="15" t="s">
        <v>2550</v>
      </c>
      <c r="D1" s="15" t="s">
        <v>2551</v>
      </c>
      <c r="E1" s="15" t="s">
        <v>2552</v>
      </c>
    </row>
    <row r="2">
      <c r="A2" s="15">
        <v>2.0</v>
      </c>
      <c r="B2" s="15" t="s">
        <v>2553</v>
      </c>
      <c r="C2" s="15" t="s">
        <v>2554</v>
      </c>
      <c r="D2" s="15" t="s">
        <v>2555</v>
      </c>
    </row>
    <row r="3">
      <c r="A3" s="15">
        <v>3.0</v>
      </c>
      <c r="B3" s="15" t="s">
        <v>2556</v>
      </c>
      <c r="C3" s="15" t="s">
        <v>2554</v>
      </c>
    </row>
    <row r="4">
      <c r="A4" s="15">
        <v>4.0</v>
      </c>
      <c r="B4" s="15" t="s">
        <v>2557</v>
      </c>
      <c r="C4" s="15" t="s">
        <v>2550</v>
      </c>
      <c r="D4" s="15" t="s">
        <v>2558</v>
      </c>
      <c r="E4" s="15" t="s">
        <v>2559</v>
      </c>
    </row>
    <row r="5">
      <c r="A5" s="15">
        <v>5.0</v>
      </c>
      <c r="B5" s="15" t="s">
        <v>2560</v>
      </c>
      <c r="C5" s="15" t="s">
        <v>2550</v>
      </c>
      <c r="D5" s="15" t="s">
        <v>2558</v>
      </c>
    </row>
    <row r="6">
      <c r="A6" s="15">
        <v>6.0</v>
      </c>
      <c r="B6" s="15" t="s">
        <v>467</v>
      </c>
      <c r="C6" s="15" t="s">
        <v>2554</v>
      </c>
      <c r="D6" s="15" t="s">
        <v>2561</v>
      </c>
      <c r="E6" s="18">
        <v>46102.0</v>
      </c>
    </row>
    <row r="7">
      <c r="A7" s="15">
        <v>7.0</v>
      </c>
      <c r="B7" s="15" t="s">
        <v>2562</v>
      </c>
      <c r="C7" s="15" t="s">
        <v>2550</v>
      </c>
      <c r="D7" s="15" t="s">
        <v>2563</v>
      </c>
    </row>
    <row r="8">
      <c r="A8" s="15">
        <v>8.0</v>
      </c>
      <c r="B8" s="15" t="s">
        <v>2564</v>
      </c>
      <c r="C8" s="15" t="s">
        <v>2550</v>
      </c>
      <c r="D8" s="15" t="s">
        <v>2565</v>
      </c>
    </row>
    <row r="9">
      <c r="A9" s="15">
        <v>9.0</v>
      </c>
      <c r="B9" s="15" t="s">
        <v>488</v>
      </c>
      <c r="C9" s="15" t="s">
        <v>2550</v>
      </c>
    </row>
    <row r="10">
      <c r="A10" s="15">
        <v>10.0</v>
      </c>
      <c r="B10" s="15" t="s">
        <v>2566</v>
      </c>
      <c r="C10" s="15" t="s">
        <v>2550</v>
      </c>
      <c r="D10" s="15" t="s">
        <v>2567</v>
      </c>
      <c r="E10" s="15" t="s">
        <v>2568</v>
      </c>
    </row>
    <row r="11">
      <c r="A11" s="15">
        <v>11.0</v>
      </c>
      <c r="B11" s="15" t="s">
        <v>2569</v>
      </c>
      <c r="C11" s="15" t="s">
        <v>2554</v>
      </c>
      <c r="D11" s="15" t="s">
        <v>2570</v>
      </c>
      <c r="E11" s="15" t="s">
        <v>2568</v>
      </c>
    </row>
    <row r="12">
      <c r="A12" s="15">
        <v>12.0</v>
      </c>
      <c r="B12" s="15" t="s">
        <v>2571</v>
      </c>
      <c r="C12" s="15" t="s">
        <v>2554</v>
      </c>
      <c r="D12" s="15" t="s">
        <v>2570</v>
      </c>
    </row>
    <row r="13">
      <c r="A13" s="15">
        <v>13.0</v>
      </c>
      <c r="B13" s="15" t="s">
        <v>2572</v>
      </c>
      <c r="C13" s="15" t="s">
        <v>2550</v>
      </c>
    </row>
    <row r="14">
      <c r="A14" s="15">
        <v>14.0</v>
      </c>
      <c r="B14" s="15" t="s">
        <v>304</v>
      </c>
      <c r="C14" s="15" t="s">
        <v>2554</v>
      </c>
      <c r="D14" s="15" t="s">
        <v>2573</v>
      </c>
      <c r="E14" s="15" t="s">
        <v>2574</v>
      </c>
      <c r="F14" s="18">
        <v>46096.0</v>
      </c>
    </row>
    <row r="15">
      <c r="A15" s="15">
        <v>15.0</v>
      </c>
      <c r="B15" s="15" t="s">
        <v>2520</v>
      </c>
      <c r="C15" s="15" t="s">
        <v>2554</v>
      </c>
      <c r="D15" s="15" t="s">
        <v>2558</v>
      </c>
    </row>
    <row r="16">
      <c r="A16" s="15">
        <v>16.0</v>
      </c>
      <c r="C16" s="19"/>
    </row>
    <row r="17">
      <c r="A17" s="15">
        <v>17.0</v>
      </c>
      <c r="B17" s="15" t="s">
        <v>2575</v>
      </c>
      <c r="C17" s="15" t="s">
        <v>2554</v>
      </c>
    </row>
    <row r="18">
      <c r="A18" s="15">
        <v>18.0</v>
      </c>
      <c r="B18" s="15" t="s">
        <v>763</v>
      </c>
      <c r="C18" s="15" t="s">
        <v>2554</v>
      </c>
      <c r="D18" s="15" t="s">
        <v>2565</v>
      </c>
      <c r="E18" s="15" t="s">
        <v>2576</v>
      </c>
    </row>
    <row r="19">
      <c r="A19" s="15">
        <v>19.0</v>
      </c>
      <c r="B19" s="15" t="s">
        <v>2577</v>
      </c>
      <c r="C19" s="15" t="s">
        <v>2554</v>
      </c>
      <c r="D19" s="15" t="s">
        <v>2578</v>
      </c>
      <c r="E19" s="15" t="s">
        <v>2574</v>
      </c>
    </row>
    <row r="20">
      <c r="A20" s="15">
        <v>20.0</v>
      </c>
      <c r="C20" s="19"/>
    </row>
    <row r="21">
      <c r="A21" s="15">
        <v>21.0</v>
      </c>
      <c r="B21" s="15" t="s">
        <v>2579</v>
      </c>
      <c r="C21" s="15" t="s">
        <v>2554</v>
      </c>
      <c r="D21" s="15" t="s">
        <v>2570</v>
      </c>
      <c r="E21" s="15" t="s">
        <v>2580</v>
      </c>
    </row>
    <row r="22">
      <c r="A22" s="15">
        <v>22.0</v>
      </c>
      <c r="B22" s="15" t="s">
        <v>2581</v>
      </c>
      <c r="C22" s="15" t="s">
        <v>2554</v>
      </c>
      <c r="D22" s="15" t="s">
        <v>2570</v>
      </c>
      <c r="E22" s="15" t="s">
        <v>2568</v>
      </c>
    </row>
    <row r="23">
      <c r="A23" s="15">
        <v>23.0</v>
      </c>
      <c r="B23" s="15" t="s">
        <v>2582</v>
      </c>
      <c r="C23" s="15" t="s">
        <v>2554</v>
      </c>
      <c r="D23" s="15" t="s">
        <v>2570</v>
      </c>
      <c r="E23" s="15" t="s">
        <v>2583</v>
      </c>
    </row>
    <row r="24">
      <c r="A24" s="15">
        <v>24.0</v>
      </c>
      <c r="B24" s="15" t="s">
        <v>2584</v>
      </c>
      <c r="C24" s="15" t="s">
        <v>2554</v>
      </c>
      <c r="D24" s="15" t="s">
        <v>2570</v>
      </c>
      <c r="E24" s="15" t="s">
        <v>2585</v>
      </c>
    </row>
    <row r="25">
      <c r="A25" s="15">
        <v>25.0</v>
      </c>
      <c r="B25" s="15" t="s">
        <v>2586</v>
      </c>
      <c r="C25" s="15" t="s">
        <v>2554</v>
      </c>
      <c r="D25" s="15" t="s">
        <v>2587</v>
      </c>
      <c r="E25" s="20">
        <v>46079.0</v>
      </c>
    </row>
    <row r="26">
      <c r="A26" s="15">
        <v>26.0</v>
      </c>
      <c r="B26" s="15" t="s">
        <v>1110</v>
      </c>
      <c r="C26" s="15" t="s">
        <v>2554</v>
      </c>
      <c r="D26" s="15" t="s">
        <v>2588</v>
      </c>
      <c r="E26" s="15" t="s">
        <v>2589</v>
      </c>
    </row>
    <row r="27">
      <c r="A27" s="15">
        <v>27.0</v>
      </c>
      <c r="B27" s="15" t="s">
        <v>2590</v>
      </c>
      <c r="C27" s="15" t="s">
        <v>2550</v>
      </c>
      <c r="D27" s="15" t="s">
        <v>2591</v>
      </c>
    </row>
    <row r="28">
      <c r="A28" s="15">
        <v>28.0</v>
      </c>
      <c r="B28" s="15" t="s">
        <v>1101</v>
      </c>
      <c r="C28" s="15" t="s">
        <v>2554</v>
      </c>
      <c r="D28" s="15" t="s">
        <v>2558</v>
      </c>
      <c r="E28" s="15" t="s">
        <v>2592</v>
      </c>
    </row>
    <row r="29">
      <c r="A29" s="15">
        <v>29.0</v>
      </c>
      <c r="B29" s="15" t="s">
        <v>2593</v>
      </c>
      <c r="C29" s="15" t="s">
        <v>2554</v>
      </c>
      <c r="D29" s="15" t="s">
        <v>2594</v>
      </c>
    </row>
    <row r="30">
      <c r="A30" s="15">
        <v>30.0</v>
      </c>
      <c r="B30" s="15" t="s">
        <v>1110</v>
      </c>
      <c r="C30" s="15" t="s">
        <v>2554</v>
      </c>
      <c r="D30" s="15" t="s">
        <v>2595</v>
      </c>
      <c r="E30" s="15" t="s">
        <v>2596</v>
      </c>
    </row>
    <row r="31">
      <c r="A31" s="15">
        <v>31.0</v>
      </c>
      <c r="B31" s="15" t="s">
        <v>2597</v>
      </c>
      <c r="C31" s="15" t="s">
        <v>2550</v>
      </c>
      <c r="D31" s="15" t="s">
        <v>2595</v>
      </c>
      <c r="E31" s="18"/>
    </row>
    <row r="32">
      <c r="A32" s="15">
        <v>32.0</v>
      </c>
      <c r="B32" s="15" t="s">
        <v>2598</v>
      </c>
      <c r="C32" s="15" t="s">
        <v>2554</v>
      </c>
      <c r="D32" s="15" t="s">
        <v>2595</v>
      </c>
      <c r="E32" s="18"/>
    </row>
    <row r="33">
      <c r="A33" s="15">
        <v>33.0</v>
      </c>
      <c r="B33" s="15" t="s">
        <v>2345</v>
      </c>
      <c r="C33" s="15" t="s">
        <v>2554</v>
      </c>
      <c r="D33" s="15" t="s">
        <v>2595</v>
      </c>
      <c r="E33" s="18"/>
    </row>
    <row r="34">
      <c r="A34" s="15">
        <v>34.0</v>
      </c>
      <c r="B34" s="15" t="s">
        <v>2599</v>
      </c>
      <c r="C34" s="15" t="s">
        <v>2554</v>
      </c>
      <c r="D34" s="15" t="s">
        <v>2595</v>
      </c>
      <c r="E34" s="18"/>
    </row>
    <row r="35">
      <c r="A35" s="15" t="s">
        <v>2600</v>
      </c>
      <c r="B35" s="15" t="s">
        <v>1936</v>
      </c>
      <c r="C35" s="15" t="s">
        <v>2554</v>
      </c>
      <c r="D35" s="15" t="s">
        <v>2595</v>
      </c>
      <c r="E35" s="18"/>
    </row>
    <row r="36">
      <c r="A36" s="15">
        <v>36.0</v>
      </c>
      <c r="B36" s="15" t="s">
        <v>2601</v>
      </c>
      <c r="C36" s="15" t="s">
        <v>2554</v>
      </c>
      <c r="D36" s="15" t="s">
        <v>2602</v>
      </c>
      <c r="E36" s="18"/>
    </row>
    <row r="37">
      <c r="A37" s="15">
        <v>37.0</v>
      </c>
      <c r="B37" s="15" t="s">
        <v>2603</v>
      </c>
      <c r="C37" s="15" t="s">
        <v>2554</v>
      </c>
      <c r="D37" s="15" t="s">
        <v>2595</v>
      </c>
      <c r="E37" s="18"/>
    </row>
    <row r="38">
      <c r="A38" s="15">
        <v>38.0</v>
      </c>
      <c r="B38" s="15" t="s">
        <v>2604</v>
      </c>
      <c r="C38" s="15" t="s">
        <v>2554</v>
      </c>
      <c r="D38" s="15" t="s">
        <v>2595</v>
      </c>
      <c r="E38" s="18"/>
    </row>
    <row r="39">
      <c r="A39" s="15">
        <v>39.0</v>
      </c>
      <c r="B39" s="15" t="s">
        <v>2605</v>
      </c>
      <c r="C39" s="15" t="s">
        <v>2554</v>
      </c>
      <c r="D39" s="15" t="s">
        <v>2602</v>
      </c>
      <c r="E39" s="18"/>
    </row>
    <row r="40">
      <c r="A40" s="15">
        <v>40.0</v>
      </c>
      <c r="B40" s="15" t="s">
        <v>831</v>
      </c>
      <c r="C40" s="15" t="s">
        <v>2554</v>
      </c>
      <c r="E40" s="18"/>
    </row>
    <row r="41">
      <c r="A41" s="15">
        <v>41.0</v>
      </c>
      <c r="B41" s="15" t="s">
        <v>2606</v>
      </c>
      <c r="C41" s="15" t="s">
        <v>2550</v>
      </c>
      <c r="E41" s="18">
        <v>46090.0</v>
      </c>
    </row>
    <row r="42">
      <c r="B42" s="15" t="s">
        <v>2607</v>
      </c>
      <c r="C42" s="15" t="s">
        <v>2550</v>
      </c>
    </row>
    <row r="43">
      <c r="A43" s="15"/>
    </row>
  </sheetData>
  <dataValidations>
    <dataValidation type="list" allowBlank="1" showErrorMessage="1" sqref="C1:C42">
      <formula1>"Out,In"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9.13"/>
    <col customWidth="1" min="3" max="3" width="9.63"/>
    <col customWidth="1" min="4" max="4" width="9.88"/>
    <col customWidth="1" min="5" max="5" width="6.63"/>
    <col customWidth="1" min="6" max="6" width="10.0"/>
    <col customWidth="1" min="9" max="9" width="20.25"/>
  </cols>
  <sheetData>
    <row r="1">
      <c r="A1" s="15" t="s">
        <v>2608</v>
      </c>
      <c r="B1" s="21" t="s">
        <v>2609</v>
      </c>
      <c r="C1" s="21" t="s">
        <v>2610</v>
      </c>
      <c r="D1" s="22" t="s">
        <v>2611</v>
      </c>
      <c r="E1" s="23"/>
      <c r="F1" s="15" t="s">
        <v>2612</v>
      </c>
      <c r="K1" s="22" t="s">
        <v>2613</v>
      </c>
      <c r="L1" s="23"/>
      <c r="M1" s="23"/>
    </row>
    <row r="2">
      <c r="A2" s="15" t="s">
        <v>2549</v>
      </c>
      <c r="B2" s="21">
        <v>1500000.0</v>
      </c>
      <c r="C2" s="21">
        <v>80000.0</v>
      </c>
      <c r="D2" s="22">
        <v>100000.0</v>
      </c>
      <c r="E2" s="24">
        <f t="shared" ref="E2:E79" si="1">(D2-C2)/C2</f>
        <v>0.25</v>
      </c>
      <c r="F2" s="23">
        <f t="shared" ref="F2:F79" si="2">(D2-9.5%*D2)-1250</f>
        <v>89250</v>
      </c>
      <c r="G2" s="25"/>
      <c r="I2" s="15" t="s">
        <v>2549</v>
      </c>
      <c r="J2" s="22">
        <v>2600000.0</v>
      </c>
      <c r="K2" s="23">
        <f t="shared" ref="K2:K22" si="3">J2*10%</f>
        <v>260000</v>
      </c>
      <c r="L2" s="23">
        <f t="shared" ref="L2:L22" si="4">(K2/2)+20000</f>
        <v>150000</v>
      </c>
      <c r="M2" s="23">
        <f t="shared" ref="M2:M22" si="5">(K2/4)+20000</f>
        <v>85000</v>
      </c>
      <c r="N2" s="21"/>
      <c r="O2" s="22"/>
      <c r="P2" s="24"/>
    </row>
    <row r="3">
      <c r="A3" s="15" t="s">
        <v>2553</v>
      </c>
      <c r="B3" s="21">
        <v>1700000.0</v>
      </c>
      <c r="C3" s="21">
        <v>140000.0</v>
      </c>
      <c r="D3" s="22">
        <v>175000.0</v>
      </c>
      <c r="E3" s="24">
        <f t="shared" si="1"/>
        <v>0.25</v>
      </c>
      <c r="F3" s="23">
        <f t="shared" si="2"/>
        <v>157125</v>
      </c>
      <c r="G3" s="26">
        <f>((Pemasukan!G3)-(B2+B3+B4))</f>
        <v>4313000</v>
      </c>
      <c r="I3" s="15" t="s">
        <v>2556</v>
      </c>
      <c r="J3" s="22">
        <v>600000.0</v>
      </c>
      <c r="K3" s="23">
        <f t="shared" si="3"/>
        <v>60000</v>
      </c>
      <c r="L3" s="23">
        <f t="shared" si="4"/>
        <v>50000</v>
      </c>
      <c r="M3" s="23">
        <f t="shared" si="5"/>
        <v>35000</v>
      </c>
      <c r="N3" s="21"/>
      <c r="O3" s="22"/>
      <c r="P3" s="24"/>
    </row>
    <row r="4">
      <c r="A4" s="15" t="s">
        <v>2593</v>
      </c>
      <c r="B4" s="21">
        <v>1650000.0</v>
      </c>
      <c r="C4" s="21">
        <v>250000.0</v>
      </c>
      <c r="D4" s="22">
        <v>310000.0</v>
      </c>
      <c r="E4" s="24">
        <f t="shared" si="1"/>
        <v>0.24</v>
      </c>
      <c r="F4" s="23">
        <f t="shared" si="2"/>
        <v>279300</v>
      </c>
      <c r="I4" s="15" t="s">
        <v>2557</v>
      </c>
      <c r="J4" s="22">
        <v>800000.0</v>
      </c>
      <c r="K4" s="23">
        <f t="shared" si="3"/>
        <v>80000</v>
      </c>
      <c r="L4" s="23">
        <f t="shared" si="4"/>
        <v>60000</v>
      </c>
      <c r="M4" s="23">
        <f t="shared" si="5"/>
        <v>40000</v>
      </c>
      <c r="N4" s="21"/>
      <c r="O4" s="22"/>
      <c r="P4" s="24"/>
    </row>
    <row r="5">
      <c r="A5" s="15" t="s">
        <v>2556</v>
      </c>
      <c r="B5" s="21">
        <v>278000.0</v>
      </c>
      <c r="C5" s="21">
        <v>50000.0</v>
      </c>
      <c r="D5" s="22">
        <v>65000.0</v>
      </c>
      <c r="E5" s="24">
        <f t="shared" si="1"/>
        <v>0.3</v>
      </c>
      <c r="F5" s="23">
        <f t="shared" si="2"/>
        <v>57575</v>
      </c>
      <c r="G5" s="25"/>
      <c r="I5" s="15" t="s">
        <v>467</v>
      </c>
      <c r="J5" s="22">
        <v>3115000.0</v>
      </c>
      <c r="K5" s="23">
        <f t="shared" si="3"/>
        <v>311500</v>
      </c>
      <c r="L5" s="23">
        <f t="shared" si="4"/>
        <v>175750</v>
      </c>
      <c r="M5" s="23">
        <f t="shared" si="5"/>
        <v>97875</v>
      </c>
      <c r="N5" s="21"/>
      <c r="O5" s="22"/>
      <c r="P5" s="24"/>
    </row>
    <row r="6">
      <c r="B6" s="27"/>
      <c r="C6" s="21">
        <v>75000.0</v>
      </c>
      <c r="D6" s="22">
        <v>95000.0</v>
      </c>
      <c r="E6" s="24">
        <f t="shared" si="1"/>
        <v>0.2666666667</v>
      </c>
      <c r="F6" s="23">
        <f t="shared" si="2"/>
        <v>84725</v>
      </c>
      <c r="I6" s="15" t="s">
        <v>2562</v>
      </c>
      <c r="J6" s="22"/>
      <c r="K6" s="23">
        <f t="shared" si="3"/>
        <v>0</v>
      </c>
      <c r="L6" s="23">
        <f t="shared" si="4"/>
        <v>20000</v>
      </c>
      <c r="M6" s="23">
        <f t="shared" si="5"/>
        <v>20000</v>
      </c>
      <c r="N6" s="21"/>
      <c r="O6" s="22"/>
      <c r="P6" s="24"/>
    </row>
    <row r="7">
      <c r="B7" s="27"/>
      <c r="C7" s="21">
        <v>125000.0</v>
      </c>
      <c r="D7" s="22">
        <v>160000.0</v>
      </c>
      <c r="E7" s="24">
        <f t="shared" si="1"/>
        <v>0.28</v>
      </c>
      <c r="F7" s="23">
        <f t="shared" si="2"/>
        <v>143550</v>
      </c>
      <c r="I7" s="15" t="s">
        <v>2564</v>
      </c>
      <c r="J7" s="22"/>
      <c r="K7" s="23">
        <f t="shared" si="3"/>
        <v>0</v>
      </c>
      <c r="L7" s="23">
        <f t="shared" si="4"/>
        <v>20000</v>
      </c>
      <c r="M7" s="23">
        <f t="shared" si="5"/>
        <v>20000</v>
      </c>
      <c r="N7" s="21"/>
      <c r="O7" s="22"/>
      <c r="P7" s="24"/>
    </row>
    <row r="8">
      <c r="A8" s="15" t="s">
        <v>2557</v>
      </c>
      <c r="B8" s="21">
        <v>500000.0</v>
      </c>
      <c r="C8" s="21">
        <v>60000.0</v>
      </c>
      <c r="D8" s="22">
        <v>75000.0</v>
      </c>
      <c r="E8" s="24">
        <f t="shared" si="1"/>
        <v>0.25</v>
      </c>
      <c r="F8" s="23">
        <f t="shared" si="2"/>
        <v>66625</v>
      </c>
      <c r="G8" s="28">
        <f>((Pemasukan!G4)-(B8+B9+B10))</f>
        <v>1020000</v>
      </c>
      <c r="I8" s="15" t="s">
        <v>2614</v>
      </c>
      <c r="J8" s="22"/>
      <c r="K8" s="23">
        <f t="shared" si="3"/>
        <v>0</v>
      </c>
      <c r="L8" s="23">
        <f t="shared" si="4"/>
        <v>20000</v>
      </c>
      <c r="M8" s="23">
        <f t="shared" si="5"/>
        <v>20000</v>
      </c>
      <c r="N8" s="21"/>
      <c r="O8" s="22"/>
      <c r="P8" s="24"/>
    </row>
    <row r="9">
      <c r="A9" s="15" t="s">
        <v>2560</v>
      </c>
      <c r="B9" s="21">
        <v>800000.0</v>
      </c>
      <c r="C9" s="21">
        <v>100000.0</v>
      </c>
      <c r="D9" s="22">
        <v>125000.0</v>
      </c>
      <c r="E9" s="24">
        <f t="shared" si="1"/>
        <v>0.25</v>
      </c>
      <c r="F9" s="23">
        <f t="shared" si="2"/>
        <v>111875</v>
      </c>
      <c r="I9" s="15" t="s">
        <v>2566</v>
      </c>
      <c r="J9" s="22"/>
      <c r="K9" s="23">
        <f t="shared" si="3"/>
        <v>0</v>
      </c>
      <c r="L9" s="23">
        <f t="shared" si="4"/>
        <v>20000</v>
      </c>
      <c r="M9" s="23">
        <f t="shared" si="5"/>
        <v>20000</v>
      </c>
      <c r="N9" s="21"/>
      <c r="O9" s="22"/>
      <c r="P9" s="24"/>
    </row>
    <row r="10">
      <c r="A10" s="15" t="s">
        <v>2615</v>
      </c>
      <c r="B10" s="21">
        <v>1100000.0</v>
      </c>
      <c r="C10" s="21">
        <v>170000.0</v>
      </c>
      <c r="D10" s="22">
        <v>215000.0</v>
      </c>
      <c r="E10" s="24">
        <f t="shared" si="1"/>
        <v>0.2647058824</v>
      </c>
      <c r="F10" s="23">
        <f t="shared" si="2"/>
        <v>193325</v>
      </c>
      <c r="I10" s="15" t="s">
        <v>2616</v>
      </c>
      <c r="J10" s="22">
        <v>1100000.0</v>
      </c>
      <c r="K10" s="23">
        <f t="shared" si="3"/>
        <v>110000</v>
      </c>
      <c r="L10" s="23">
        <f t="shared" si="4"/>
        <v>75000</v>
      </c>
      <c r="M10" s="23">
        <f t="shared" si="5"/>
        <v>47500</v>
      </c>
      <c r="N10" s="21"/>
      <c r="O10" s="22"/>
      <c r="P10" s="24"/>
    </row>
    <row r="11">
      <c r="A11" s="15" t="s">
        <v>467</v>
      </c>
      <c r="B11" s="21">
        <v>1400000.0</v>
      </c>
      <c r="C11" s="21">
        <v>100000.0</v>
      </c>
      <c r="D11" s="22">
        <v>125000.0</v>
      </c>
      <c r="E11" s="24">
        <f t="shared" si="1"/>
        <v>0.25</v>
      </c>
      <c r="F11" s="23">
        <f t="shared" si="2"/>
        <v>111875</v>
      </c>
      <c r="G11" s="25"/>
      <c r="I11" s="15" t="s">
        <v>2572</v>
      </c>
      <c r="J11" s="22">
        <v>700000.0</v>
      </c>
      <c r="K11" s="23">
        <f t="shared" si="3"/>
        <v>70000</v>
      </c>
      <c r="L11" s="23">
        <f t="shared" si="4"/>
        <v>55000</v>
      </c>
      <c r="M11" s="23">
        <f t="shared" si="5"/>
        <v>37500</v>
      </c>
      <c r="N11" s="21"/>
      <c r="O11" s="22"/>
      <c r="P11" s="24"/>
    </row>
    <row r="12">
      <c r="B12" s="27"/>
      <c r="C12" s="21">
        <v>180000.0</v>
      </c>
      <c r="D12" s="22">
        <v>225000.0</v>
      </c>
      <c r="E12" s="24">
        <f t="shared" si="1"/>
        <v>0.25</v>
      </c>
      <c r="F12" s="23">
        <f t="shared" si="2"/>
        <v>202375</v>
      </c>
      <c r="I12" s="15" t="s">
        <v>2617</v>
      </c>
      <c r="J12" s="22">
        <v>2100000.0</v>
      </c>
      <c r="K12" s="23">
        <f t="shared" si="3"/>
        <v>210000</v>
      </c>
      <c r="L12" s="23">
        <f t="shared" si="4"/>
        <v>125000</v>
      </c>
      <c r="M12" s="23">
        <f t="shared" si="5"/>
        <v>72500</v>
      </c>
      <c r="N12" s="21"/>
      <c r="O12" s="22"/>
      <c r="P12" s="24"/>
    </row>
    <row r="13">
      <c r="B13" s="27"/>
      <c r="C13" s="21">
        <v>310000.0</v>
      </c>
      <c r="D13" s="22">
        <v>390000.0</v>
      </c>
      <c r="E13" s="24">
        <f t="shared" si="1"/>
        <v>0.2580645161</v>
      </c>
      <c r="F13" s="23">
        <f t="shared" si="2"/>
        <v>351700</v>
      </c>
      <c r="I13" s="15" t="s">
        <v>2520</v>
      </c>
      <c r="J13" s="22">
        <v>1500000.0</v>
      </c>
      <c r="K13" s="23">
        <f t="shared" si="3"/>
        <v>150000</v>
      </c>
      <c r="L13" s="23">
        <f t="shared" si="4"/>
        <v>95000</v>
      </c>
      <c r="M13" s="23">
        <f t="shared" si="5"/>
        <v>57500</v>
      </c>
      <c r="N13" s="21"/>
      <c r="O13" s="22"/>
      <c r="P13" s="24"/>
    </row>
    <row r="14">
      <c r="A14" s="15" t="s">
        <v>2562</v>
      </c>
      <c r="B14" s="21">
        <v>562000.0</v>
      </c>
      <c r="C14" s="21">
        <v>60000.0</v>
      </c>
      <c r="D14" s="22">
        <v>75000.0</v>
      </c>
      <c r="E14" s="24">
        <f t="shared" si="1"/>
        <v>0.25</v>
      </c>
      <c r="F14" s="23">
        <f t="shared" si="2"/>
        <v>66625</v>
      </c>
      <c r="G14" s="28">
        <f>((Pemasukan!G10)-(B14+B15+B16))</f>
        <v>-62000</v>
      </c>
      <c r="I14" s="15" t="s">
        <v>2618</v>
      </c>
      <c r="J14" s="22">
        <v>1400000.0</v>
      </c>
      <c r="K14" s="23">
        <f t="shared" si="3"/>
        <v>140000</v>
      </c>
      <c r="L14" s="23">
        <f t="shared" si="4"/>
        <v>90000</v>
      </c>
      <c r="M14" s="23">
        <f t="shared" si="5"/>
        <v>55000</v>
      </c>
      <c r="N14" s="21"/>
      <c r="O14" s="22"/>
      <c r="P14" s="24"/>
    </row>
    <row r="15">
      <c r="B15" s="27"/>
      <c r="C15" s="21">
        <v>100000.0</v>
      </c>
      <c r="D15" s="22">
        <v>125000.0</v>
      </c>
      <c r="E15" s="24">
        <f t="shared" si="1"/>
        <v>0.25</v>
      </c>
      <c r="F15" s="23">
        <f t="shared" si="2"/>
        <v>111875</v>
      </c>
      <c r="I15" s="15" t="s">
        <v>763</v>
      </c>
      <c r="J15" s="22">
        <v>3000000.0</v>
      </c>
      <c r="K15" s="23">
        <f t="shared" si="3"/>
        <v>300000</v>
      </c>
      <c r="L15" s="23">
        <f t="shared" si="4"/>
        <v>170000</v>
      </c>
      <c r="M15" s="23">
        <f t="shared" si="5"/>
        <v>95000</v>
      </c>
      <c r="N15" s="21"/>
      <c r="O15" s="22"/>
      <c r="P15" s="24"/>
    </row>
    <row r="16">
      <c r="B16" s="27"/>
      <c r="C16" s="21">
        <v>170000.0</v>
      </c>
      <c r="D16" s="22">
        <v>215000.0</v>
      </c>
      <c r="E16" s="24">
        <f t="shared" si="1"/>
        <v>0.2647058824</v>
      </c>
      <c r="F16" s="23">
        <f t="shared" si="2"/>
        <v>193325</v>
      </c>
      <c r="I16" s="15" t="s">
        <v>2619</v>
      </c>
      <c r="J16" s="22">
        <v>5000000.0</v>
      </c>
      <c r="K16" s="23">
        <f t="shared" si="3"/>
        <v>500000</v>
      </c>
      <c r="L16" s="23">
        <f t="shared" si="4"/>
        <v>270000</v>
      </c>
      <c r="M16" s="23">
        <f t="shared" si="5"/>
        <v>145000</v>
      </c>
      <c r="N16" s="21"/>
      <c r="O16" s="22"/>
      <c r="P16" s="24"/>
    </row>
    <row r="17">
      <c r="A17" s="15" t="s">
        <v>2564</v>
      </c>
      <c r="B17" s="21">
        <v>160000.0</v>
      </c>
      <c r="C17" s="21">
        <v>40000.0</v>
      </c>
      <c r="D17" s="22">
        <v>50000.0</v>
      </c>
      <c r="E17" s="24">
        <f t="shared" si="1"/>
        <v>0.25</v>
      </c>
      <c r="F17" s="23">
        <f t="shared" si="2"/>
        <v>44000</v>
      </c>
      <c r="I17" s="15" t="s">
        <v>1110</v>
      </c>
      <c r="J17" s="22">
        <v>3200000.0</v>
      </c>
      <c r="K17" s="23">
        <f t="shared" si="3"/>
        <v>320000</v>
      </c>
      <c r="L17" s="23">
        <f t="shared" si="4"/>
        <v>180000</v>
      </c>
      <c r="M17" s="23">
        <f t="shared" si="5"/>
        <v>100000</v>
      </c>
      <c r="N17" s="21"/>
      <c r="O17" s="22"/>
      <c r="P17" s="24"/>
    </row>
    <row r="18">
      <c r="B18" s="27"/>
      <c r="C18" s="21">
        <v>60000.0</v>
      </c>
      <c r="D18" s="22">
        <v>70000.0</v>
      </c>
      <c r="E18" s="24">
        <f t="shared" si="1"/>
        <v>0.1666666667</v>
      </c>
      <c r="F18" s="23">
        <f t="shared" si="2"/>
        <v>62100</v>
      </c>
      <c r="I18" s="15" t="s">
        <v>2590</v>
      </c>
      <c r="J18" s="22">
        <v>5000000.0</v>
      </c>
      <c r="K18" s="23">
        <f t="shared" si="3"/>
        <v>500000</v>
      </c>
      <c r="L18" s="23">
        <f t="shared" si="4"/>
        <v>270000</v>
      </c>
      <c r="M18" s="23">
        <f t="shared" si="5"/>
        <v>145000</v>
      </c>
      <c r="N18" s="21"/>
      <c r="O18" s="22"/>
      <c r="P18" s="24"/>
    </row>
    <row r="19">
      <c r="B19" s="27"/>
      <c r="C19" s="21">
        <v>100000.0</v>
      </c>
      <c r="D19" s="22">
        <v>115000.0</v>
      </c>
      <c r="E19" s="24">
        <f t="shared" si="1"/>
        <v>0.15</v>
      </c>
      <c r="F19" s="23">
        <f t="shared" si="2"/>
        <v>102825</v>
      </c>
      <c r="I19" s="15" t="s">
        <v>1101</v>
      </c>
      <c r="J19" s="22">
        <v>2700000.0</v>
      </c>
      <c r="K19" s="23">
        <f t="shared" si="3"/>
        <v>270000</v>
      </c>
      <c r="L19" s="23">
        <f t="shared" si="4"/>
        <v>155000</v>
      </c>
      <c r="M19" s="23">
        <f t="shared" si="5"/>
        <v>87500</v>
      </c>
      <c r="N19" s="21"/>
      <c r="O19" s="22"/>
      <c r="P19" s="24"/>
    </row>
    <row r="20">
      <c r="A20" s="15" t="s">
        <v>2614</v>
      </c>
      <c r="B20" s="21">
        <v>600000.0</v>
      </c>
      <c r="C20" s="21">
        <v>50000.0</v>
      </c>
      <c r="D20" s="22">
        <v>65000.0</v>
      </c>
      <c r="E20" s="24">
        <f t="shared" si="1"/>
        <v>0.3</v>
      </c>
      <c r="F20" s="23">
        <f t="shared" si="2"/>
        <v>57575</v>
      </c>
      <c r="G20" s="28">
        <f>((Pemasukan!G6+Pemasukan!G7)-(B20+B21))</f>
        <v>40000</v>
      </c>
      <c r="I20" s="15" t="s">
        <v>2286</v>
      </c>
      <c r="J20" s="22">
        <v>2400000.0</v>
      </c>
      <c r="K20" s="23">
        <f t="shared" si="3"/>
        <v>240000</v>
      </c>
      <c r="L20" s="23">
        <f t="shared" si="4"/>
        <v>140000</v>
      </c>
      <c r="M20" s="23">
        <f t="shared" si="5"/>
        <v>80000</v>
      </c>
      <c r="N20" s="21"/>
      <c r="O20" s="22"/>
      <c r="P20" s="24"/>
    </row>
    <row r="21">
      <c r="A21" s="15" t="s">
        <v>2575</v>
      </c>
      <c r="B21" s="21">
        <v>400000.0</v>
      </c>
      <c r="C21" s="21">
        <v>70000.0</v>
      </c>
      <c r="D21" s="22">
        <v>90000.0</v>
      </c>
      <c r="E21" s="24">
        <f t="shared" si="1"/>
        <v>0.2857142857</v>
      </c>
      <c r="F21" s="23">
        <f t="shared" si="2"/>
        <v>80200</v>
      </c>
      <c r="I21" s="15" t="s">
        <v>1860</v>
      </c>
      <c r="J21" s="22">
        <v>1300000.0</v>
      </c>
      <c r="K21" s="23">
        <f t="shared" si="3"/>
        <v>130000</v>
      </c>
      <c r="L21" s="23">
        <f t="shared" si="4"/>
        <v>85000</v>
      </c>
      <c r="M21" s="23">
        <f t="shared" si="5"/>
        <v>52500</v>
      </c>
      <c r="N21" s="21"/>
      <c r="O21" s="22"/>
      <c r="P21" s="24"/>
    </row>
    <row r="22">
      <c r="B22" s="27"/>
      <c r="C22" s="21">
        <v>115000.0</v>
      </c>
      <c r="D22" s="22">
        <v>145000.0</v>
      </c>
      <c r="E22" s="24">
        <f t="shared" si="1"/>
        <v>0.2608695652</v>
      </c>
      <c r="F22" s="23">
        <f t="shared" si="2"/>
        <v>129975</v>
      </c>
      <c r="I22" s="15" t="s">
        <v>2345</v>
      </c>
      <c r="J22" s="22">
        <v>3100000.0</v>
      </c>
      <c r="K22" s="23">
        <f t="shared" si="3"/>
        <v>310000</v>
      </c>
      <c r="L22" s="23">
        <f t="shared" si="4"/>
        <v>175000</v>
      </c>
      <c r="M22" s="23">
        <f t="shared" si="5"/>
        <v>97500</v>
      </c>
      <c r="N22" s="21"/>
      <c r="O22" s="22"/>
      <c r="P22" s="24"/>
    </row>
    <row r="23">
      <c r="B23" s="27"/>
      <c r="C23" s="21">
        <v>60000.0</v>
      </c>
      <c r="D23" s="22">
        <v>75000.0</v>
      </c>
      <c r="E23" s="24">
        <f t="shared" si="1"/>
        <v>0.25</v>
      </c>
      <c r="F23" s="23">
        <f t="shared" si="2"/>
        <v>66625</v>
      </c>
      <c r="J23" s="22"/>
      <c r="K23" s="23"/>
      <c r="L23" s="23"/>
      <c r="M23" s="23"/>
      <c r="N23" s="21"/>
      <c r="O23" s="22"/>
      <c r="P23" s="24"/>
    </row>
    <row r="24">
      <c r="B24" s="27"/>
      <c r="C24" s="21">
        <v>80000.0</v>
      </c>
      <c r="D24" s="22">
        <v>100000.0</v>
      </c>
      <c r="E24" s="24">
        <f t="shared" si="1"/>
        <v>0.25</v>
      </c>
      <c r="F24" s="23">
        <f t="shared" si="2"/>
        <v>89250</v>
      </c>
      <c r="J24" s="22"/>
      <c r="K24" s="23"/>
      <c r="L24" s="23"/>
      <c r="M24" s="23"/>
      <c r="N24" s="21"/>
      <c r="O24" s="22"/>
      <c r="P24" s="24"/>
    </row>
    <row r="25">
      <c r="B25" s="27"/>
      <c r="C25" s="21">
        <v>125000.0</v>
      </c>
      <c r="D25" s="22">
        <v>155000.0</v>
      </c>
      <c r="E25" s="24">
        <f t="shared" si="1"/>
        <v>0.24</v>
      </c>
      <c r="F25" s="23">
        <f t="shared" si="2"/>
        <v>139025</v>
      </c>
      <c r="J25" s="22"/>
      <c r="K25" s="23"/>
      <c r="L25" s="23"/>
      <c r="M25" s="23"/>
      <c r="N25" s="21"/>
      <c r="O25" s="22"/>
      <c r="P25" s="24"/>
    </row>
    <row r="26">
      <c r="A26" s="15" t="s">
        <v>2566</v>
      </c>
      <c r="B26" s="21">
        <v>310000.0</v>
      </c>
      <c r="C26" s="21">
        <v>50000.0</v>
      </c>
      <c r="D26" s="22">
        <v>65000.0</v>
      </c>
      <c r="E26" s="24">
        <f t="shared" si="1"/>
        <v>0.3</v>
      </c>
      <c r="F26" s="23">
        <f t="shared" si="2"/>
        <v>57575</v>
      </c>
      <c r="G26" s="28">
        <f>((Pemasukan!G15)-(B26+B27+B28))</f>
        <v>10000</v>
      </c>
      <c r="J26" s="22"/>
      <c r="K26" s="23"/>
      <c r="L26" s="23"/>
      <c r="M26" s="23"/>
      <c r="N26" s="21"/>
      <c r="O26" s="22"/>
      <c r="P26" s="24"/>
    </row>
    <row r="27">
      <c r="B27" s="27"/>
      <c r="C27" s="21">
        <v>75000.0</v>
      </c>
      <c r="D27" s="22">
        <v>95000.0</v>
      </c>
      <c r="E27" s="24">
        <f t="shared" si="1"/>
        <v>0.2666666667</v>
      </c>
      <c r="F27" s="23">
        <f t="shared" si="2"/>
        <v>84725</v>
      </c>
      <c r="J27" s="22"/>
      <c r="K27" s="23"/>
      <c r="L27" s="23"/>
      <c r="M27" s="23"/>
      <c r="N27" s="21"/>
      <c r="O27" s="22"/>
      <c r="P27" s="24"/>
    </row>
    <row r="28">
      <c r="C28" s="21">
        <v>125000.0</v>
      </c>
      <c r="D28" s="22">
        <v>160000.0</v>
      </c>
      <c r="E28" s="24">
        <f t="shared" si="1"/>
        <v>0.28</v>
      </c>
      <c r="F28" s="23">
        <f t="shared" si="2"/>
        <v>143550</v>
      </c>
      <c r="J28" s="22"/>
      <c r="K28" s="23"/>
      <c r="L28" s="23"/>
      <c r="M28" s="23"/>
      <c r="N28" s="21"/>
      <c r="O28" s="22"/>
      <c r="P28" s="24"/>
    </row>
    <row r="29">
      <c r="A29" s="15" t="s">
        <v>2616</v>
      </c>
      <c r="B29" s="21">
        <v>1250000.0</v>
      </c>
      <c r="C29" s="21">
        <v>60000.0</v>
      </c>
      <c r="D29" s="22">
        <v>75000.0</v>
      </c>
      <c r="E29" s="24">
        <f t="shared" si="1"/>
        <v>0.25</v>
      </c>
      <c r="F29" s="23">
        <f t="shared" si="2"/>
        <v>66625</v>
      </c>
      <c r="G29" s="26">
        <f>((Pemasukan!G9)-(B29+B30+B31))</f>
        <v>6376500</v>
      </c>
      <c r="J29" s="22"/>
      <c r="K29" s="23"/>
      <c r="L29" s="23"/>
      <c r="M29" s="23"/>
      <c r="N29" s="21"/>
      <c r="O29" s="22"/>
      <c r="P29" s="24"/>
    </row>
    <row r="30">
      <c r="A30" s="15" t="s">
        <v>2620</v>
      </c>
      <c r="B30" s="21">
        <v>1400000.0</v>
      </c>
      <c r="C30" s="21">
        <v>100000.0</v>
      </c>
      <c r="D30" s="22">
        <v>125000.0</v>
      </c>
      <c r="E30" s="24">
        <f t="shared" si="1"/>
        <v>0.25</v>
      </c>
      <c r="F30" s="23">
        <f t="shared" si="2"/>
        <v>111875</v>
      </c>
      <c r="G30" s="29"/>
      <c r="J30" s="22"/>
      <c r="K30" s="23"/>
      <c r="L30" s="23"/>
      <c r="M30" s="23"/>
      <c r="N30" s="21"/>
      <c r="O30" s="22"/>
      <c r="P30" s="24"/>
    </row>
    <row r="31">
      <c r="A31" s="15" t="s">
        <v>2621</v>
      </c>
      <c r="B31" s="21">
        <v>1200000.0</v>
      </c>
      <c r="C31" s="21">
        <v>170000.0</v>
      </c>
      <c r="D31" s="22">
        <v>215000.0</v>
      </c>
      <c r="E31" s="24">
        <f t="shared" si="1"/>
        <v>0.2647058824</v>
      </c>
      <c r="F31" s="23">
        <f t="shared" si="2"/>
        <v>193325</v>
      </c>
      <c r="G31" s="29"/>
      <c r="J31" s="22"/>
      <c r="K31" s="23"/>
      <c r="L31" s="23"/>
      <c r="M31" s="23"/>
      <c r="N31" s="21"/>
      <c r="O31" s="22"/>
      <c r="P31" s="24"/>
    </row>
    <row r="32">
      <c r="A32" s="15" t="s">
        <v>2572</v>
      </c>
      <c r="B32" s="21">
        <v>450000.0</v>
      </c>
      <c r="C32" s="21">
        <v>60000.0</v>
      </c>
      <c r="D32" s="22">
        <v>75000.0</v>
      </c>
      <c r="E32" s="24">
        <f t="shared" si="1"/>
        <v>0.25</v>
      </c>
      <c r="F32" s="23">
        <f t="shared" si="2"/>
        <v>66625</v>
      </c>
      <c r="G32" s="26">
        <f>(Pemasukan!G14- B32)</f>
        <v>905000</v>
      </c>
      <c r="J32" s="22"/>
      <c r="K32" s="23"/>
      <c r="L32" s="23"/>
      <c r="M32" s="23"/>
      <c r="N32" s="21"/>
      <c r="O32" s="22"/>
      <c r="P32" s="24"/>
    </row>
    <row r="33">
      <c r="B33" s="27"/>
      <c r="C33" s="21">
        <v>100000.0</v>
      </c>
      <c r="D33" s="22">
        <v>125000.0</v>
      </c>
      <c r="E33" s="24">
        <f t="shared" si="1"/>
        <v>0.25</v>
      </c>
      <c r="F33" s="23">
        <f t="shared" si="2"/>
        <v>111875</v>
      </c>
      <c r="J33" s="22"/>
      <c r="K33" s="23"/>
      <c r="L33" s="23"/>
      <c r="M33" s="23"/>
      <c r="N33" s="21"/>
      <c r="O33" s="22"/>
      <c r="P33" s="24"/>
    </row>
    <row r="34">
      <c r="B34" s="27"/>
      <c r="C34" s="21">
        <v>170000.0</v>
      </c>
      <c r="D34" s="22">
        <v>215000.0</v>
      </c>
      <c r="E34" s="24">
        <f t="shared" si="1"/>
        <v>0.2647058824</v>
      </c>
      <c r="F34" s="23">
        <f t="shared" si="2"/>
        <v>193325</v>
      </c>
      <c r="J34" s="22"/>
      <c r="K34" s="23"/>
      <c r="L34" s="23"/>
      <c r="M34" s="23"/>
      <c r="N34" s="21"/>
      <c r="O34" s="22"/>
      <c r="P34" s="24"/>
    </row>
    <row r="35">
      <c r="A35" s="15" t="s">
        <v>2617</v>
      </c>
      <c r="B35" s="21">
        <v>650000.0</v>
      </c>
      <c r="C35" s="21">
        <v>75000.0</v>
      </c>
      <c r="D35" s="22">
        <v>95000.0</v>
      </c>
      <c r="E35" s="24">
        <f t="shared" si="1"/>
        <v>0.2666666667</v>
      </c>
      <c r="F35" s="23">
        <f t="shared" si="2"/>
        <v>84725</v>
      </c>
      <c r="G35" s="26">
        <f>(Pemasukan!G12-(B35+B36))</f>
        <v>3185000</v>
      </c>
      <c r="J35" s="22"/>
      <c r="K35" s="23"/>
      <c r="L35" s="23"/>
      <c r="M35" s="23"/>
      <c r="N35" s="21"/>
      <c r="O35" s="22"/>
      <c r="P35" s="24"/>
    </row>
    <row r="36">
      <c r="A36" s="15" t="s">
        <v>2577</v>
      </c>
      <c r="B36" s="21">
        <v>650000.0</v>
      </c>
      <c r="C36" s="21">
        <v>130000.0</v>
      </c>
      <c r="D36" s="22">
        <v>165000.0</v>
      </c>
      <c r="E36" s="24">
        <f t="shared" si="1"/>
        <v>0.2692307692</v>
      </c>
      <c r="F36" s="23">
        <f t="shared" si="2"/>
        <v>148075</v>
      </c>
      <c r="G36" s="25"/>
      <c r="J36" s="22"/>
      <c r="K36" s="23"/>
      <c r="L36" s="23"/>
      <c r="M36" s="23"/>
      <c r="N36" s="21"/>
      <c r="O36" s="22"/>
      <c r="P36" s="24"/>
    </row>
    <row r="37">
      <c r="B37" s="27"/>
      <c r="C37" s="21">
        <v>230000.0</v>
      </c>
      <c r="D37" s="22">
        <v>290000.0</v>
      </c>
      <c r="E37" s="24">
        <f t="shared" si="1"/>
        <v>0.2608695652</v>
      </c>
      <c r="F37" s="23">
        <f t="shared" si="2"/>
        <v>261200</v>
      </c>
      <c r="J37" s="22"/>
      <c r="K37" s="23"/>
      <c r="L37" s="23"/>
      <c r="M37" s="23"/>
      <c r="N37" s="21"/>
      <c r="O37" s="22"/>
      <c r="P37" s="24"/>
    </row>
    <row r="38">
      <c r="A38" s="15" t="s">
        <v>2520</v>
      </c>
      <c r="B38" s="21">
        <v>850000.0</v>
      </c>
      <c r="C38" s="21">
        <v>70000.0</v>
      </c>
      <c r="D38" s="22">
        <v>90000.0</v>
      </c>
      <c r="E38" s="24">
        <f t="shared" si="1"/>
        <v>0.2857142857</v>
      </c>
      <c r="F38" s="23">
        <f t="shared" si="2"/>
        <v>80200</v>
      </c>
      <c r="G38" s="28">
        <f>((Pemasukan!G13)-(B38+B39+B40))</f>
        <v>-360000</v>
      </c>
      <c r="J38" s="22"/>
      <c r="K38" s="23"/>
      <c r="L38" s="23"/>
      <c r="M38" s="23"/>
      <c r="N38" s="21"/>
      <c r="O38" s="22"/>
      <c r="P38" s="24"/>
    </row>
    <row r="39">
      <c r="B39" s="27"/>
      <c r="C39" s="21">
        <v>120000.0</v>
      </c>
      <c r="D39" s="22">
        <v>150000.0</v>
      </c>
      <c r="E39" s="24">
        <f t="shared" si="1"/>
        <v>0.25</v>
      </c>
      <c r="F39" s="23">
        <f t="shared" si="2"/>
        <v>134500</v>
      </c>
      <c r="J39" s="22"/>
      <c r="K39" s="23"/>
      <c r="L39" s="23"/>
      <c r="M39" s="23"/>
      <c r="N39" s="21"/>
      <c r="O39" s="22"/>
      <c r="P39" s="24"/>
    </row>
    <row r="40">
      <c r="B40" s="27"/>
      <c r="C40" s="21">
        <v>210000.0</v>
      </c>
      <c r="D40" s="22">
        <v>265000.0</v>
      </c>
      <c r="E40" s="24">
        <f t="shared" si="1"/>
        <v>0.2619047619</v>
      </c>
      <c r="F40" s="23">
        <f t="shared" si="2"/>
        <v>238575</v>
      </c>
      <c r="J40" s="22"/>
      <c r="K40" s="23"/>
      <c r="L40" s="23"/>
      <c r="M40" s="23"/>
      <c r="N40" s="21"/>
      <c r="O40" s="22"/>
      <c r="P40" s="24"/>
    </row>
    <row r="41">
      <c r="A41" s="15" t="s">
        <v>2618</v>
      </c>
      <c r="B41" s="21">
        <v>750000.0</v>
      </c>
      <c r="C41" s="21">
        <v>70000.0</v>
      </c>
      <c r="D41" s="22">
        <v>90000.0</v>
      </c>
      <c r="E41" s="24">
        <f t="shared" si="1"/>
        <v>0.2857142857</v>
      </c>
      <c r="F41" s="23">
        <f t="shared" si="2"/>
        <v>80200</v>
      </c>
      <c r="G41" s="30">
        <f>((Pemasukan!G11)-(B41+B42+B43))</f>
        <v>218000</v>
      </c>
      <c r="J41" s="22"/>
      <c r="K41" s="23"/>
      <c r="L41" s="23"/>
      <c r="M41" s="23"/>
      <c r="N41" s="21"/>
      <c r="O41" s="22"/>
      <c r="P41" s="24"/>
    </row>
    <row r="42">
      <c r="A42" s="15" t="s">
        <v>2622</v>
      </c>
      <c r="B42" s="21">
        <v>550000.0</v>
      </c>
      <c r="C42" s="21">
        <v>120000.0</v>
      </c>
      <c r="D42" s="22">
        <v>150000.0</v>
      </c>
      <c r="E42" s="24">
        <f t="shared" si="1"/>
        <v>0.25</v>
      </c>
      <c r="F42" s="23">
        <f t="shared" si="2"/>
        <v>134500</v>
      </c>
      <c r="J42" s="22"/>
      <c r="K42" s="23"/>
      <c r="L42" s="23"/>
      <c r="M42" s="23"/>
      <c r="N42" s="21"/>
      <c r="O42" s="22"/>
      <c r="P42" s="24"/>
    </row>
    <row r="43">
      <c r="A43" s="15" t="s">
        <v>2623</v>
      </c>
      <c r="B43" s="21">
        <v>1177000.0</v>
      </c>
      <c r="C43" s="21">
        <v>210000.0</v>
      </c>
      <c r="D43" s="22">
        <v>265000.0</v>
      </c>
      <c r="E43" s="24">
        <f t="shared" si="1"/>
        <v>0.2619047619</v>
      </c>
      <c r="F43" s="23">
        <f t="shared" si="2"/>
        <v>238575</v>
      </c>
      <c r="J43" s="22"/>
      <c r="K43" s="23"/>
      <c r="L43" s="23"/>
      <c r="M43" s="23"/>
      <c r="N43" s="21"/>
      <c r="O43" s="22"/>
      <c r="P43" s="24"/>
    </row>
    <row r="44">
      <c r="A44" s="15" t="s">
        <v>763</v>
      </c>
      <c r="B44" s="21">
        <v>1500000.0</v>
      </c>
      <c r="C44" s="21">
        <v>100000.0</v>
      </c>
      <c r="D44" s="22">
        <v>125000.0</v>
      </c>
      <c r="E44" s="24">
        <f t="shared" si="1"/>
        <v>0.25</v>
      </c>
      <c r="F44" s="23">
        <f t="shared" si="2"/>
        <v>111875</v>
      </c>
      <c r="G44" s="30">
        <f>((Pemasukan!G16)-(B44+B45+B46))</f>
        <v>1281000</v>
      </c>
      <c r="J44" s="22"/>
      <c r="K44" s="23"/>
      <c r="L44" s="23"/>
      <c r="M44" s="23"/>
      <c r="N44" s="21"/>
      <c r="O44" s="22"/>
      <c r="P44" s="24"/>
    </row>
    <row r="45">
      <c r="A45" s="15"/>
      <c r="B45" s="21"/>
      <c r="C45" s="21">
        <v>180000.0</v>
      </c>
      <c r="D45" s="22">
        <v>225000.0</v>
      </c>
      <c r="E45" s="24">
        <f t="shared" si="1"/>
        <v>0.25</v>
      </c>
      <c r="F45" s="23">
        <f t="shared" si="2"/>
        <v>202375</v>
      </c>
      <c r="I45" s="15"/>
      <c r="J45" s="22"/>
      <c r="K45" s="23"/>
      <c r="L45" s="23"/>
      <c r="M45" s="23"/>
      <c r="N45" s="21"/>
      <c r="O45" s="22"/>
      <c r="P45" s="24"/>
    </row>
    <row r="46">
      <c r="A46" s="15"/>
      <c r="B46" s="21"/>
      <c r="C46" s="21">
        <v>310000.0</v>
      </c>
      <c r="D46" s="22">
        <v>390000.0</v>
      </c>
      <c r="E46" s="24">
        <f t="shared" si="1"/>
        <v>0.2580645161</v>
      </c>
      <c r="F46" s="23">
        <f t="shared" si="2"/>
        <v>351700</v>
      </c>
      <c r="I46" s="15"/>
      <c r="J46" s="22"/>
      <c r="K46" s="23"/>
      <c r="L46" s="23"/>
      <c r="M46" s="23"/>
      <c r="N46" s="21"/>
      <c r="O46" s="22"/>
      <c r="P46" s="24"/>
    </row>
    <row r="47">
      <c r="A47" s="15" t="s">
        <v>2619</v>
      </c>
      <c r="B47" s="21">
        <v>2750000.0</v>
      </c>
      <c r="C47" s="21">
        <v>130000.0</v>
      </c>
      <c r="D47" s="22">
        <v>165000.0</v>
      </c>
      <c r="E47" s="24">
        <f t="shared" si="1"/>
        <v>0.2692307692</v>
      </c>
      <c r="F47" s="23">
        <f t="shared" si="2"/>
        <v>148075</v>
      </c>
      <c r="G47" s="28">
        <f>((Pemasukan!G17)-(B47+B48+B49))</f>
        <v>-530000</v>
      </c>
      <c r="J47" s="22"/>
      <c r="K47" s="23"/>
      <c r="L47" s="23"/>
      <c r="M47" s="23"/>
      <c r="N47" s="21"/>
      <c r="O47" s="22"/>
      <c r="P47" s="24"/>
    </row>
    <row r="48">
      <c r="A48" s="15"/>
      <c r="B48" s="21"/>
      <c r="C48" s="21">
        <v>240000.0</v>
      </c>
      <c r="D48" s="22">
        <v>300000.0</v>
      </c>
      <c r="E48" s="24">
        <f t="shared" si="1"/>
        <v>0.25</v>
      </c>
      <c r="F48" s="23">
        <f t="shared" si="2"/>
        <v>270250</v>
      </c>
      <c r="J48" s="22"/>
      <c r="K48" s="23"/>
      <c r="L48" s="23"/>
      <c r="M48" s="23"/>
      <c r="N48" s="21"/>
      <c r="O48" s="22"/>
      <c r="P48" s="24"/>
    </row>
    <row r="49">
      <c r="A49" s="15"/>
      <c r="B49" s="21"/>
      <c r="C49" s="21">
        <v>450000.0</v>
      </c>
      <c r="D49" s="22">
        <v>565000.0</v>
      </c>
      <c r="E49" s="24">
        <f t="shared" si="1"/>
        <v>0.2555555556</v>
      </c>
      <c r="F49" s="23">
        <f t="shared" si="2"/>
        <v>510075</v>
      </c>
      <c r="J49" s="22"/>
      <c r="K49" s="23"/>
      <c r="L49" s="23"/>
      <c r="M49" s="23"/>
      <c r="N49" s="21"/>
      <c r="O49" s="22"/>
      <c r="P49" s="24"/>
    </row>
    <row r="50">
      <c r="A50" s="15" t="s">
        <v>1110</v>
      </c>
      <c r="B50" s="21">
        <v>3060000.0</v>
      </c>
      <c r="C50" s="21">
        <v>130000.0</v>
      </c>
      <c r="D50" s="22">
        <v>165000.0</v>
      </c>
      <c r="E50" s="24">
        <f t="shared" si="1"/>
        <v>0.2692307692</v>
      </c>
      <c r="F50" s="23">
        <f t="shared" si="2"/>
        <v>148075</v>
      </c>
      <c r="G50" s="28">
        <f>((Pemasukan!G18)-(B50+B51+B52))</f>
        <v>-1180000</v>
      </c>
      <c r="J50" s="22"/>
      <c r="K50" s="23"/>
      <c r="L50" s="23"/>
      <c r="M50" s="23"/>
      <c r="N50" s="21"/>
      <c r="O50" s="22"/>
      <c r="P50" s="24"/>
    </row>
    <row r="51">
      <c r="A51" s="15">
        <v>2.0</v>
      </c>
      <c r="B51" s="21">
        <v>3500000.0</v>
      </c>
      <c r="C51" s="21">
        <v>240000.0</v>
      </c>
      <c r="D51" s="22">
        <v>300000.0</v>
      </c>
      <c r="E51" s="24">
        <f t="shared" si="1"/>
        <v>0.25</v>
      </c>
      <c r="F51" s="23">
        <f t="shared" si="2"/>
        <v>270250</v>
      </c>
      <c r="J51" s="22"/>
      <c r="K51" s="23"/>
      <c r="L51" s="23"/>
      <c r="M51" s="23"/>
      <c r="N51" s="21"/>
      <c r="O51" s="22"/>
      <c r="P51" s="24"/>
    </row>
    <row r="52">
      <c r="A52" s="15"/>
      <c r="B52" s="21"/>
      <c r="C52" s="21">
        <v>450000.0</v>
      </c>
      <c r="D52" s="22">
        <v>565000.0</v>
      </c>
      <c r="E52" s="24">
        <f t="shared" si="1"/>
        <v>0.2555555556</v>
      </c>
      <c r="F52" s="23">
        <f t="shared" si="2"/>
        <v>510075</v>
      </c>
      <c r="J52" s="22"/>
      <c r="K52" s="23"/>
      <c r="L52" s="23"/>
      <c r="M52" s="23"/>
      <c r="N52" s="21"/>
      <c r="O52" s="22"/>
      <c r="P52" s="24"/>
    </row>
    <row r="53">
      <c r="A53" s="15" t="s">
        <v>2590</v>
      </c>
      <c r="B53" s="21">
        <v>2700000.0</v>
      </c>
      <c r="C53" s="21">
        <v>130000.0</v>
      </c>
      <c r="D53" s="22">
        <v>165000.0</v>
      </c>
      <c r="E53" s="24">
        <f t="shared" si="1"/>
        <v>0.2692307692</v>
      </c>
      <c r="F53" s="23">
        <f t="shared" si="2"/>
        <v>148075</v>
      </c>
      <c r="G53" s="28">
        <f>((Pemasukan!G20)-(B53+B54+B55))</f>
        <v>-1700000</v>
      </c>
      <c r="J53" s="22"/>
      <c r="K53" s="23"/>
      <c r="L53" s="23"/>
      <c r="M53" s="23"/>
      <c r="N53" s="21"/>
      <c r="O53" s="22"/>
      <c r="P53" s="24"/>
    </row>
    <row r="54">
      <c r="B54" s="27"/>
      <c r="C54" s="21">
        <v>240000.0</v>
      </c>
      <c r="D54" s="22">
        <v>300000.0</v>
      </c>
      <c r="E54" s="24">
        <f t="shared" si="1"/>
        <v>0.25</v>
      </c>
      <c r="F54" s="23">
        <f t="shared" si="2"/>
        <v>270250</v>
      </c>
      <c r="J54" s="22"/>
      <c r="K54" s="23"/>
      <c r="L54" s="23"/>
      <c r="M54" s="23"/>
      <c r="N54" s="21"/>
      <c r="O54" s="22"/>
      <c r="P54" s="24"/>
    </row>
    <row r="55">
      <c r="B55" s="27"/>
      <c r="C55" s="21">
        <v>450000.0</v>
      </c>
      <c r="D55" s="22">
        <v>565000.0</v>
      </c>
      <c r="E55" s="24">
        <f t="shared" si="1"/>
        <v>0.2555555556</v>
      </c>
      <c r="F55" s="23">
        <f t="shared" si="2"/>
        <v>510075</v>
      </c>
      <c r="J55" s="22"/>
      <c r="K55" s="23"/>
      <c r="L55" s="23"/>
      <c r="M55" s="23"/>
      <c r="N55" s="21"/>
      <c r="O55" s="22"/>
      <c r="P55" s="24"/>
    </row>
    <row r="56">
      <c r="A56" s="15" t="s">
        <v>1101</v>
      </c>
      <c r="B56" s="21">
        <v>1300000.0</v>
      </c>
      <c r="C56" s="21">
        <v>80000.0</v>
      </c>
      <c r="D56" s="22">
        <v>100000.0</v>
      </c>
      <c r="E56" s="24">
        <f t="shared" si="1"/>
        <v>0.25</v>
      </c>
      <c r="F56" s="23">
        <f t="shared" si="2"/>
        <v>89250</v>
      </c>
      <c r="G56" s="28">
        <f>((Pemasukan!G19)-(B56+B57+B58))</f>
        <v>-60000</v>
      </c>
      <c r="J56" s="22"/>
      <c r="K56" s="23"/>
      <c r="L56" s="23"/>
      <c r="M56" s="23"/>
      <c r="N56" s="21"/>
      <c r="O56" s="22"/>
      <c r="P56" s="24"/>
    </row>
    <row r="57">
      <c r="B57" s="27"/>
      <c r="C57" s="21">
        <v>140000.0</v>
      </c>
      <c r="D57" s="22">
        <v>175000.0</v>
      </c>
      <c r="E57" s="24">
        <f t="shared" si="1"/>
        <v>0.25</v>
      </c>
      <c r="F57" s="23">
        <f t="shared" si="2"/>
        <v>157125</v>
      </c>
      <c r="J57" s="22"/>
      <c r="K57" s="23"/>
      <c r="L57" s="23"/>
      <c r="M57" s="23"/>
      <c r="N57" s="21"/>
      <c r="O57" s="22"/>
      <c r="P57" s="24"/>
    </row>
    <row r="58">
      <c r="B58" s="21"/>
      <c r="C58" s="21">
        <v>250000.0</v>
      </c>
      <c r="D58" s="22">
        <v>310000.0</v>
      </c>
      <c r="E58" s="24">
        <f t="shared" si="1"/>
        <v>0.24</v>
      </c>
      <c r="F58" s="23">
        <f t="shared" si="2"/>
        <v>279300</v>
      </c>
      <c r="J58" s="22"/>
      <c r="K58" s="23"/>
      <c r="L58" s="23"/>
      <c r="M58" s="23"/>
      <c r="N58" s="21"/>
      <c r="O58" s="22"/>
      <c r="P58" s="24"/>
    </row>
    <row r="59">
      <c r="A59" s="15" t="s">
        <v>1853</v>
      </c>
      <c r="B59" s="21">
        <v>1210000.0</v>
      </c>
      <c r="C59" s="21">
        <v>70000.0</v>
      </c>
      <c r="D59" s="22">
        <v>90000.0</v>
      </c>
      <c r="E59" s="24">
        <f t="shared" si="1"/>
        <v>0.2857142857</v>
      </c>
      <c r="F59" s="23">
        <f t="shared" si="2"/>
        <v>80200</v>
      </c>
      <c r="G59" s="28">
        <f>((Pemasukan!G23)-(B59+B60))</f>
        <v>-1360000</v>
      </c>
      <c r="K59" s="23"/>
      <c r="L59" s="23"/>
      <c r="M59" s="23"/>
    </row>
    <row r="60">
      <c r="A60" s="15" t="s">
        <v>2624</v>
      </c>
      <c r="B60" s="21">
        <v>1210000.0</v>
      </c>
      <c r="C60" s="21">
        <v>120000.0</v>
      </c>
      <c r="D60" s="22">
        <v>150000.0</v>
      </c>
      <c r="E60" s="24">
        <f t="shared" si="1"/>
        <v>0.25</v>
      </c>
      <c r="F60" s="23">
        <f t="shared" si="2"/>
        <v>134500</v>
      </c>
      <c r="K60" s="23"/>
      <c r="L60" s="23"/>
      <c r="M60" s="23"/>
    </row>
    <row r="61">
      <c r="A61" s="15"/>
      <c r="B61" s="21"/>
      <c r="C61" s="21">
        <v>210000.0</v>
      </c>
      <c r="D61" s="22">
        <v>265000.0</v>
      </c>
      <c r="E61" s="24">
        <f t="shared" si="1"/>
        <v>0.2619047619</v>
      </c>
      <c r="F61" s="23">
        <f t="shared" si="2"/>
        <v>238575</v>
      </c>
      <c r="K61" s="23"/>
      <c r="L61" s="23"/>
      <c r="M61" s="23"/>
    </row>
    <row r="62">
      <c r="A62" s="15" t="s">
        <v>2286</v>
      </c>
      <c r="B62" s="21">
        <v>3010000.0</v>
      </c>
      <c r="C62" s="21">
        <v>100000.0</v>
      </c>
      <c r="D62" s="22">
        <v>125000.0</v>
      </c>
      <c r="E62" s="24">
        <f t="shared" si="1"/>
        <v>0.25</v>
      </c>
      <c r="F62" s="23">
        <f t="shared" si="2"/>
        <v>111875</v>
      </c>
      <c r="G62" s="28">
        <f>((Pemasukan!G21)-(B62+B63+B64))</f>
        <v>-1690000</v>
      </c>
      <c r="K62" s="23"/>
      <c r="L62" s="23"/>
      <c r="M62" s="23"/>
    </row>
    <row r="63">
      <c r="B63" s="21"/>
      <c r="C63" s="21">
        <v>180000.0</v>
      </c>
      <c r="D63" s="22">
        <v>225000.0</v>
      </c>
      <c r="E63" s="24">
        <f t="shared" si="1"/>
        <v>0.25</v>
      </c>
      <c r="F63" s="23">
        <f t="shared" si="2"/>
        <v>202375</v>
      </c>
      <c r="K63" s="23"/>
      <c r="L63" s="23"/>
      <c r="M63" s="23"/>
    </row>
    <row r="64">
      <c r="B64" s="21"/>
      <c r="C64" s="21">
        <v>330000.0</v>
      </c>
      <c r="D64" s="22">
        <v>415000.0</v>
      </c>
      <c r="E64" s="24">
        <f t="shared" si="1"/>
        <v>0.2575757576</v>
      </c>
      <c r="F64" s="23">
        <f t="shared" si="2"/>
        <v>374325</v>
      </c>
      <c r="K64" s="23"/>
      <c r="L64" s="23"/>
      <c r="M64" s="23"/>
    </row>
    <row r="65">
      <c r="A65" s="15" t="s">
        <v>2625</v>
      </c>
      <c r="B65" s="21">
        <v>2610000.0</v>
      </c>
      <c r="C65" s="21">
        <v>130000.0</v>
      </c>
      <c r="D65" s="22">
        <v>165000.0</v>
      </c>
      <c r="E65" s="24">
        <f t="shared" si="1"/>
        <v>0.2692307692</v>
      </c>
      <c r="F65" s="23">
        <f t="shared" si="2"/>
        <v>148075</v>
      </c>
      <c r="G65" s="28">
        <f>((Pemasukan!G23)-(B65+B66+B67))</f>
        <v>-4200000</v>
      </c>
      <c r="K65" s="23"/>
      <c r="L65" s="23"/>
      <c r="M65" s="23"/>
    </row>
    <row r="66">
      <c r="A66" s="15"/>
      <c r="B66" s="21">
        <v>2650000.0</v>
      </c>
      <c r="C66" s="21">
        <v>240000.0</v>
      </c>
      <c r="D66" s="22">
        <v>300000.0</v>
      </c>
      <c r="E66" s="24">
        <f t="shared" si="1"/>
        <v>0.25</v>
      </c>
      <c r="F66" s="23">
        <f t="shared" si="2"/>
        <v>270250</v>
      </c>
      <c r="K66" s="23"/>
      <c r="L66" s="23"/>
      <c r="M66" s="23"/>
    </row>
    <row r="67">
      <c r="A67" s="15"/>
      <c r="B67" s="21"/>
      <c r="C67" s="21">
        <v>450000.0</v>
      </c>
      <c r="D67" s="22">
        <v>565000.0</v>
      </c>
      <c r="E67" s="24">
        <f t="shared" si="1"/>
        <v>0.2555555556</v>
      </c>
      <c r="F67" s="23">
        <f t="shared" si="2"/>
        <v>510075</v>
      </c>
      <c r="K67" s="23"/>
      <c r="L67" s="23"/>
      <c r="M67" s="23"/>
    </row>
    <row r="68">
      <c r="A68" s="15" t="s">
        <v>2428</v>
      </c>
      <c r="B68" s="21">
        <v>985000.0</v>
      </c>
      <c r="C68" s="21">
        <v>70000.0</v>
      </c>
      <c r="D68" s="22">
        <v>90000.0</v>
      </c>
      <c r="E68" s="24">
        <f t="shared" si="1"/>
        <v>0.2857142857</v>
      </c>
      <c r="F68" s="23">
        <f t="shared" si="2"/>
        <v>80200</v>
      </c>
      <c r="G68" s="28">
        <f>((Pemasukan!G24)-(B68+B69+B70))</f>
        <v>-1060000</v>
      </c>
      <c r="K68" s="23"/>
      <c r="L68" s="23"/>
      <c r="M68" s="23"/>
    </row>
    <row r="69">
      <c r="A69" s="15" t="s">
        <v>2626</v>
      </c>
      <c r="B69" s="21">
        <v>985000.0</v>
      </c>
      <c r="C69" s="21">
        <v>120000.0</v>
      </c>
      <c r="D69" s="22">
        <v>150000.0</v>
      </c>
      <c r="E69" s="24">
        <f t="shared" si="1"/>
        <v>0.25</v>
      </c>
      <c r="F69" s="23">
        <f t="shared" si="2"/>
        <v>134500</v>
      </c>
      <c r="K69" s="23"/>
      <c r="L69" s="23"/>
      <c r="M69" s="23"/>
    </row>
    <row r="70">
      <c r="A70" s="15"/>
      <c r="B70" s="21"/>
      <c r="C70" s="21">
        <v>210000.0</v>
      </c>
      <c r="D70" s="22">
        <v>265000.0</v>
      </c>
      <c r="E70" s="24">
        <f t="shared" si="1"/>
        <v>0.2619047619</v>
      </c>
      <c r="F70" s="23">
        <f t="shared" si="2"/>
        <v>238575</v>
      </c>
      <c r="K70" s="23"/>
      <c r="L70" s="23"/>
      <c r="M70" s="23"/>
    </row>
    <row r="71">
      <c r="A71" s="15" t="s">
        <v>2627</v>
      </c>
      <c r="B71" s="21">
        <v>950000.0</v>
      </c>
      <c r="C71" s="21">
        <v>70000.0</v>
      </c>
      <c r="D71" s="22">
        <v>90000.0</v>
      </c>
      <c r="E71" s="24">
        <f t="shared" si="1"/>
        <v>0.2857142857</v>
      </c>
      <c r="F71" s="23">
        <f t="shared" si="2"/>
        <v>80200</v>
      </c>
      <c r="G71" s="28">
        <f>((Pemasukan!G25)-(B71+B72+B73))</f>
        <v>-1285000</v>
      </c>
      <c r="K71" s="23"/>
      <c r="L71" s="23"/>
      <c r="M71" s="23"/>
    </row>
    <row r="72">
      <c r="A72" s="15" t="s">
        <v>2628</v>
      </c>
      <c r="B72" s="21">
        <v>825000.0</v>
      </c>
      <c r="C72" s="21">
        <v>120000.0</v>
      </c>
      <c r="D72" s="22">
        <v>150000.0</v>
      </c>
      <c r="E72" s="24">
        <f t="shared" si="1"/>
        <v>0.25</v>
      </c>
      <c r="F72" s="23">
        <f t="shared" si="2"/>
        <v>134500</v>
      </c>
      <c r="K72" s="23"/>
      <c r="L72" s="23"/>
      <c r="M72" s="23"/>
    </row>
    <row r="73">
      <c r="A73" s="15"/>
      <c r="B73" s="21"/>
      <c r="C73" s="21">
        <v>210000.0</v>
      </c>
      <c r="D73" s="22">
        <v>265000.0</v>
      </c>
      <c r="E73" s="24">
        <f t="shared" si="1"/>
        <v>0.2619047619</v>
      </c>
      <c r="F73" s="23">
        <f t="shared" si="2"/>
        <v>238575</v>
      </c>
      <c r="K73" s="23"/>
      <c r="L73" s="23"/>
      <c r="M73" s="23"/>
    </row>
    <row r="74">
      <c r="A74" s="15" t="s">
        <v>2252</v>
      </c>
      <c r="B74" s="21">
        <v>1450000.0</v>
      </c>
      <c r="C74" s="21">
        <v>70000.0</v>
      </c>
      <c r="D74" s="22">
        <v>90000.0</v>
      </c>
      <c r="E74" s="24">
        <f t="shared" si="1"/>
        <v>0.2857142857</v>
      </c>
      <c r="F74" s="23">
        <f t="shared" si="2"/>
        <v>80200</v>
      </c>
      <c r="G74" s="28">
        <f>((Pemasukan!G25)-(B74+B75+B76))</f>
        <v>-960000</v>
      </c>
      <c r="K74" s="23"/>
      <c r="L74" s="23"/>
      <c r="M74" s="23"/>
    </row>
    <row r="75">
      <c r="C75" s="21">
        <v>120000.0</v>
      </c>
      <c r="D75" s="22">
        <v>150000.0</v>
      </c>
      <c r="E75" s="24">
        <f t="shared" si="1"/>
        <v>0.25</v>
      </c>
      <c r="F75" s="23">
        <f t="shared" si="2"/>
        <v>134500</v>
      </c>
      <c r="K75" s="23"/>
      <c r="L75" s="23"/>
      <c r="M75" s="23"/>
    </row>
    <row r="76">
      <c r="B76" s="27"/>
      <c r="C76" s="21">
        <v>210000.0</v>
      </c>
      <c r="D76" s="22">
        <v>265000.0</v>
      </c>
      <c r="E76" s="24">
        <f t="shared" si="1"/>
        <v>0.2619047619</v>
      </c>
      <c r="F76" s="23">
        <f t="shared" si="2"/>
        <v>238575</v>
      </c>
      <c r="K76" s="23"/>
      <c r="L76" s="23"/>
      <c r="M76" s="23"/>
    </row>
    <row r="77">
      <c r="A77" s="15" t="s">
        <v>2629</v>
      </c>
      <c r="B77" s="21">
        <v>4600000.0</v>
      </c>
      <c r="C77" s="21">
        <v>130000.0</v>
      </c>
      <c r="D77" s="22">
        <v>165000.0</v>
      </c>
      <c r="E77" s="24">
        <f t="shared" si="1"/>
        <v>0.2692307692</v>
      </c>
      <c r="F77" s="23">
        <f t="shared" si="2"/>
        <v>148075</v>
      </c>
      <c r="K77" s="23"/>
      <c r="L77" s="23"/>
      <c r="M77" s="23"/>
    </row>
    <row r="78">
      <c r="B78" s="21"/>
      <c r="C78" s="21">
        <v>240000.0</v>
      </c>
      <c r="D78" s="22">
        <v>300000.0</v>
      </c>
      <c r="E78" s="24">
        <f t="shared" si="1"/>
        <v>0.25</v>
      </c>
      <c r="F78" s="23">
        <f t="shared" si="2"/>
        <v>270250</v>
      </c>
      <c r="K78" s="23"/>
      <c r="L78" s="23"/>
      <c r="M78" s="23"/>
    </row>
    <row r="79">
      <c r="B79" s="21"/>
      <c r="C79" s="21">
        <v>450000.0</v>
      </c>
      <c r="D79" s="22">
        <v>565000.0</v>
      </c>
      <c r="E79" s="24">
        <f t="shared" si="1"/>
        <v>0.2555555556</v>
      </c>
      <c r="F79" s="23">
        <f t="shared" si="2"/>
        <v>510075</v>
      </c>
      <c r="K79" s="23"/>
      <c r="L79" s="23"/>
      <c r="M79" s="23"/>
    </row>
    <row r="80">
      <c r="B80" s="21">
        <f>SUM(B2:B79)</f>
        <v>55182000</v>
      </c>
      <c r="C80" s="21"/>
      <c r="D80" s="22"/>
      <c r="E80" s="24"/>
      <c r="K80" s="23"/>
      <c r="L80" s="23"/>
      <c r="M80" s="23"/>
    </row>
    <row r="81">
      <c r="B81" s="27"/>
      <c r="C81" s="27"/>
      <c r="D81" s="23"/>
      <c r="E81" s="31"/>
      <c r="K81" s="23"/>
      <c r="L81" s="23"/>
      <c r="M81" s="23"/>
    </row>
    <row r="82">
      <c r="B82" s="21"/>
      <c r="C82" s="27"/>
      <c r="D82" s="23"/>
      <c r="E82" s="31"/>
      <c r="K82" s="23"/>
      <c r="L82" s="23"/>
      <c r="M82" s="23"/>
    </row>
    <row r="83">
      <c r="B83" s="27"/>
      <c r="C83" s="27"/>
      <c r="D83" s="23"/>
      <c r="E83" s="31"/>
      <c r="K83" s="23"/>
      <c r="L83" s="23"/>
      <c r="M83" s="23"/>
    </row>
    <row r="84">
      <c r="B84" s="27"/>
      <c r="C84" s="27"/>
      <c r="D84" s="23"/>
      <c r="E84" s="23"/>
      <c r="K84" s="23"/>
      <c r="L84" s="23"/>
      <c r="M84" s="23"/>
    </row>
    <row r="85">
      <c r="B85" s="27"/>
      <c r="C85" s="27"/>
      <c r="D85" s="23"/>
      <c r="E85" s="23"/>
      <c r="K85" s="23"/>
      <c r="L85" s="23"/>
      <c r="M85" s="23"/>
    </row>
    <row r="86">
      <c r="B86" s="27"/>
      <c r="C86" s="27"/>
      <c r="D86" s="23"/>
      <c r="E86" s="23"/>
      <c r="K86" s="23"/>
      <c r="L86" s="23"/>
      <c r="M86" s="23"/>
    </row>
    <row r="87">
      <c r="B87" s="27"/>
      <c r="C87" s="27"/>
      <c r="D87" s="23"/>
      <c r="E87" s="23"/>
      <c r="K87" s="23"/>
      <c r="L87" s="23"/>
      <c r="M87" s="23"/>
    </row>
    <row r="88">
      <c r="B88" s="27"/>
      <c r="C88" s="27"/>
      <c r="D88" s="23"/>
      <c r="E88" s="23"/>
      <c r="K88" s="23"/>
      <c r="L88" s="23"/>
      <c r="M88" s="23"/>
    </row>
    <row r="89">
      <c r="B89" s="27"/>
      <c r="C89" s="27"/>
      <c r="D89" s="23"/>
      <c r="E89" s="23"/>
      <c r="K89" s="23"/>
      <c r="L89" s="23"/>
      <c r="M89" s="23"/>
    </row>
    <row r="90">
      <c r="B90" s="27"/>
      <c r="C90" s="27"/>
      <c r="D90" s="23"/>
      <c r="E90" s="23"/>
      <c r="K90" s="23"/>
      <c r="L90" s="23"/>
      <c r="M90" s="23"/>
    </row>
    <row r="91">
      <c r="B91" s="27"/>
      <c r="C91" s="27"/>
      <c r="D91" s="23"/>
      <c r="E91" s="23"/>
      <c r="K91" s="23"/>
      <c r="L91" s="23"/>
      <c r="M91" s="23"/>
    </row>
    <row r="92">
      <c r="B92" s="27"/>
      <c r="C92" s="27"/>
      <c r="D92" s="23"/>
      <c r="E92" s="23"/>
      <c r="K92" s="23"/>
      <c r="L92" s="23"/>
      <c r="M92" s="23"/>
    </row>
    <row r="93">
      <c r="B93" s="27"/>
      <c r="C93" s="27"/>
      <c r="D93" s="23"/>
      <c r="E93" s="23"/>
      <c r="K93" s="23"/>
      <c r="L93" s="23"/>
      <c r="M93" s="23"/>
    </row>
    <row r="94">
      <c r="B94" s="27"/>
      <c r="C94" s="27"/>
      <c r="D94" s="23"/>
      <c r="E94" s="23"/>
      <c r="K94" s="23"/>
      <c r="L94" s="23"/>
      <c r="M94" s="23"/>
    </row>
    <row r="95">
      <c r="B95" s="27"/>
      <c r="C95" s="27"/>
      <c r="D95" s="23"/>
      <c r="E95" s="23"/>
      <c r="K95" s="23"/>
      <c r="L95" s="23"/>
      <c r="M95" s="23"/>
    </row>
    <row r="96">
      <c r="C96" s="27"/>
      <c r="D96" s="23"/>
      <c r="E96" s="23"/>
      <c r="K96" s="23"/>
      <c r="L96" s="23"/>
      <c r="M96" s="23"/>
    </row>
    <row r="97">
      <c r="B97" s="27"/>
      <c r="C97" s="27"/>
      <c r="D97" s="23"/>
      <c r="E97" s="23"/>
      <c r="K97" s="23"/>
      <c r="L97" s="23"/>
      <c r="M97" s="23"/>
    </row>
    <row r="98">
      <c r="B98" s="27"/>
      <c r="C98" s="27"/>
      <c r="D98" s="23"/>
      <c r="E98" s="23"/>
      <c r="K98" s="23"/>
      <c r="L98" s="23"/>
      <c r="M98" s="23"/>
    </row>
    <row r="99">
      <c r="B99" s="27"/>
      <c r="C99" s="27"/>
      <c r="D99" s="23"/>
      <c r="E99" s="23"/>
      <c r="K99" s="23"/>
      <c r="L99" s="23"/>
      <c r="M99" s="23"/>
    </row>
    <row r="100">
      <c r="B100" s="27"/>
      <c r="C100" s="27"/>
      <c r="D100" s="23"/>
      <c r="E100" s="23"/>
      <c r="K100" s="23"/>
      <c r="L100" s="23"/>
      <c r="M100" s="23"/>
    </row>
    <row r="101">
      <c r="B101" s="27"/>
      <c r="C101" s="27"/>
      <c r="D101" s="23"/>
      <c r="E101" s="23"/>
      <c r="K101" s="23"/>
      <c r="L101" s="23"/>
      <c r="M101" s="23"/>
    </row>
    <row r="102">
      <c r="B102" s="27"/>
      <c r="C102" s="27"/>
      <c r="D102" s="23"/>
      <c r="E102" s="23"/>
      <c r="K102" s="23"/>
      <c r="L102" s="23"/>
      <c r="M102" s="23"/>
    </row>
    <row r="103">
      <c r="B103" s="27"/>
      <c r="C103" s="27"/>
      <c r="D103" s="23"/>
      <c r="E103" s="23"/>
      <c r="K103" s="23"/>
      <c r="L103" s="23"/>
      <c r="M103" s="23"/>
    </row>
    <row r="104">
      <c r="B104" s="27"/>
      <c r="C104" s="27"/>
      <c r="D104" s="23"/>
      <c r="E104" s="23"/>
      <c r="K104" s="23"/>
      <c r="L104" s="23"/>
      <c r="M104" s="23"/>
    </row>
    <row r="105">
      <c r="B105" s="27"/>
      <c r="C105" s="27"/>
      <c r="D105" s="23"/>
      <c r="E105" s="23"/>
      <c r="K105" s="23"/>
      <c r="L105" s="23"/>
      <c r="M105" s="23"/>
    </row>
    <row r="106">
      <c r="B106" s="27"/>
      <c r="C106" s="27"/>
      <c r="D106" s="23"/>
      <c r="E106" s="23"/>
      <c r="K106" s="23"/>
      <c r="L106" s="23"/>
      <c r="M106" s="23"/>
    </row>
    <row r="107">
      <c r="B107" s="27"/>
      <c r="C107" s="27"/>
      <c r="D107" s="23"/>
      <c r="E107" s="23"/>
      <c r="K107" s="23"/>
      <c r="L107" s="23"/>
      <c r="M107" s="23"/>
    </row>
    <row r="108">
      <c r="B108" s="27"/>
      <c r="C108" s="27"/>
      <c r="D108" s="23"/>
      <c r="E108" s="23"/>
      <c r="K108" s="23"/>
      <c r="L108" s="23"/>
      <c r="M108" s="23"/>
    </row>
    <row r="109">
      <c r="B109" s="27"/>
      <c r="C109" s="27"/>
      <c r="D109" s="23"/>
      <c r="E109" s="23"/>
      <c r="K109" s="23"/>
      <c r="L109" s="23"/>
      <c r="M109" s="23"/>
    </row>
    <row r="110">
      <c r="B110" s="27"/>
      <c r="C110" s="27"/>
      <c r="D110" s="23"/>
      <c r="E110" s="23"/>
      <c r="K110" s="23"/>
      <c r="L110" s="23"/>
      <c r="M110" s="23"/>
    </row>
    <row r="111">
      <c r="B111" s="27"/>
      <c r="C111" s="27"/>
      <c r="D111" s="23"/>
      <c r="E111" s="23"/>
      <c r="K111" s="23"/>
      <c r="L111" s="23"/>
      <c r="M111" s="23"/>
    </row>
    <row r="112">
      <c r="B112" s="27"/>
      <c r="C112" s="27"/>
      <c r="D112" s="23"/>
      <c r="E112" s="23"/>
      <c r="K112" s="23"/>
      <c r="L112" s="23"/>
      <c r="M112" s="23"/>
    </row>
    <row r="113">
      <c r="B113" s="27"/>
      <c r="C113" s="27"/>
      <c r="D113" s="23"/>
      <c r="E113" s="23"/>
      <c r="K113" s="23"/>
      <c r="L113" s="23"/>
      <c r="M113" s="23"/>
    </row>
    <row r="114">
      <c r="B114" s="27"/>
      <c r="C114" s="27"/>
      <c r="D114" s="23"/>
      <c r="E114" s="23"/>
      <c r="K114" s="23"/>
      <c r="L114" s="23"/>
      <c r="M114" s="23"/>
    </row>
    <row r="115">
      <c r="B115" s="27"/>
      <c r="C115" s="27"/>
      <c r="D115" s="23"/>
      <c r="E115" s="23"/>
      <c r="K115" s="23"/>
      <c r="L115" s="23"/>
      <c r="M115" s="23"/>
    </row>
    <row r="116">
      <c r="B116" s="27"/>
      <c r="C116" s="27"/>
      <c r="D116" s="23"/>
      <c r="E116" s="23"/>
      <c r="K116" s="23"/>
      <c r="L116" s="23"/>
      <c r="M116" s="23"/>
    </row>
    <row r="117">
      <c r="B117" s="27"/>
      <c r="C117" s="27"/>
      <c r="D117" s="23"/>
      <c r="E117" s="23"/>
      <c r="K117" s="23"/>
      <c r="L117" s="23"/>
      <c r="M117" s="23"/>
    </row>
    <row r="118">
      <c r="B118" s="27"/>
      <c r="C118" s="27"/>
      <c r="D118" s="23"/>
      <c r="E118" s="23"/>
      <c r="K118" s="23"/>
      <c r="L118" s="23"/>
      <c r="M118" s="23"/>
    </row>
    <row r="119">
      <c r="B119" s="27"/>
      <c r="C119" s="27"/>
      <c r="D119" s="23"/>
      <c r="E119" s="23"/>
      <c r="K119" s="23"/>
      <c r="L119" s="23"/>
      <c r="M119" s="23"/>
    </row>
    <row r="120">
      <c r="B120" s="27"/>
      <c r="C120" s="27"/>
      <c r="D120" s="23"/>
      <c r="E120" s="23"/>
      <c r="K120" s="23"/>
      <c r="L120" s="23"/>
      <c r="M120" s="23"/>
    </row>
    <row r="121">
      <c r="B121" s="27"/>
      <c r="C121" s="27"/>
      <c r="D121" s="23"/>
      <c r="E121" s="23"/>
      <c r="K121" s="23"/>
      <c r="L121" s="23"/>
      <c r="M121" s="23"/>
    </row>
    <row r="122">
      <c r="B122" s="27"/>
      <c r="C122" s="27"/>
      <c r="D122" s="23"/>
      <c r="E122" s="23"/>
      <c r="K122" s="23"/>
      <c r="L122" s="23"/>
      <c r="M122" s="23"/>
    </row>
    <row r="123">
      <c r="B123" s="27"/>
      <c r="C123" s="27"/>
      <c r="D123" s="23"/>
      <c r="E123" s="23"/>
      <c r="K123" s="23"/>
      <c r="L123" s="23"/>
      <c r="M123" s="23"/>
    </row>
    <row r="124">
      <c r="B124" s="27"/>
      <c r="C124" s="27"/>
      <c r="D124" s="23"/>
      <c r="E124" s="23"/>
      <c r="K124" s="23"/>
      <c r="L124" s="23"/>
      <c r="M124" s="23"/>
    </row>
    <row r="125">
      <c r="B125" s="27"/>
      <c r="C125" s="27"/>
      <c r="D125" s="23"/>
      <c r="E125" s="23"/>
      <c r="K125" s="23"/>
      <c r="L125" s="23"/>
      <c r="M125" s="23"/>
    </row>
    <row r="126">
      <c r="B126" s="27"/>
      <c r="C126" s="27"/>
      <c r="D126" s="23"/>
      <c r="E126" s="23"/>
      <c r="K126" s="23"/>
      <c r="L126" s="23"/>
      <c r="M126" s="23"/>
    </row>
    <row r="127">
      <c r="B127" s="27"/>
      <c r="C127" s="27"/>
      <c r="D127" s="23"/>
      <c r="E127" s="23"/>
      <c r="K127" s="23"/>
      <c r="L127" s="23"/>
      <c r="M127" s="23"/>
    </row>
    <row r="128">
      <c r="B128" s="27"/>
      <c r="C128" s="27"/>
      <c r="D128" s="23"/>
      <c r="E128" s="23"/>
      <c r="K128" s="23"/>
      <c r="L128" s="23"/>
      <c r="M128" s="23"/>
    </row>
    <row r="129">
      <c r="B129" s="27"/>
      <c r="C129" s="27"/>
      <c r="D129" s="23"/>
      <c r="E129" s="23"/>
      <c r="K129" s="23"/>
      <c r="L129" s="23"/>
      <c r="M129" s="23"/>
    </row>
    <row r="130">
      <c r="B130" s="27"/>
      <c r="C130" s="27"/>
      <c r="D130" s="23"/>
      <c r="E130" s="23"/>
      <c r="K130" s="23"/>
      <c r="L130" s="23"/>
      <c r="M130" s="23"/>
    </row>
    <row r="131">
      <c r="B131" s="27"/>
      <c r="C131" s="27"/>
      <c r="D131" s="23"/>
      <c r="E131" s="23"/>
      <c r="K131" s="23"/>
      <c r="L131" s="23"/>
      <c r="M131" s="23"/>
    </row>
    <row r="132">
      <c r="B132" s="27"/>
      <c r="C132" s="27"/>
      <c r="D132" s="23"/>
      <c r="E132" s="23"/>
      <c r="K132" s="23"/>
      <c r="L132" s="23"/>
      <c r="M132" s="23"/>
    </row>
    <row r="133">
      <c r="B133" s="27"/>
      <c r="C133" s="27"/>
      <c r="D133" s="23"/>
      <c r="E133" s="23"/>
      <c r="K133" s="23"/>
      <c r="L133" s="23"/>
      <c r="M133" s="23"/>
    </row>
    <row r="134">
      <c r="B134" s="27"/>
      <c r="C134" s="27"/>
      <c r="D134" s="23"/>
      <c r="E134" s="23"/>
      <c r="K134" s="23"/>
      <c r="L134" s="23"/>
      <c r="M134" s="23"/>
    </row>
    <row r="135">
      <c r="B135" s="27"/>
      <c r="C135" s="27"/>
      <c r="D135" s="23"/>
      <c r="E135" s="23"/>
      <c r="K135" s="23"/>
      <c r="L135" s="23"/>
      <c r="M135" s="23"/>
    </row>
    <row r="136">
      <c r="B136" s="27"/>
      <c r="C136" s="27"/>
      <c r="D136" s="23"/>
      <c r="E136" s="23"/>
      <c r="K136" s="23"/>
      <c r="L136" s="23"/>
      <c r="M136" s="23"/>
    </row>
    <row r="137">
      <c r="B137" s="27"/>
      <c r="C137" s="27"/>
      <c r="D137" s="23"/>
      <c r="E137" s="23"/>
      <c r="K137" s="23"/>
      <c r="L137" s="23"/>
      <c r="M137" s="23"/>
    </row>
    <row r="138">
      <c r="B138" s="27"/>
      <c r="C138" s="27"/>
      <c r="D138" s="23"/>
      <c r="E138" s="23"/>
      <c r="K138" s="23"/>
      <c r="L138" s="23"/>
      <c r="M138" s="23"/>
    </row>
    <row r="139">
      <c r="B139" s="27"/>
      <c r="C139" s="27"/>
      <c r="D139" s="23"/>
      <c r="E139" s="23"/>
      <c r="K139" s="23"/>
      <c r="L139" s="23"/>
      <c r="M139" s="23"/>
    </row>
    <row r="140">
      <c r="B140" s="27"/>
      <c r="C140" s="27"/>
      <c r="D140" s="23"/>
      <c r="E140" s="23"/>
      <c r="K140" s="23"/>
      <c r="L140" s="23"/>
      <c r="M140" s="23"/>
    </row>
    <row r="141">
      <c r="B141" s="27"/>
      <c r="C141" s="27"/>
      <c r="D141" s="23"/>
      <c r="E141" s="23"/>
      <c r="K141" s="23"/>
      <c r="L141" s="23"/>
      <c r="M141" s="23"/>
    </row>
    <row r="142">
      <c r="B142" s="27"/>
      <c r="C142" s="27"/>
      <c r="D142" s="23"/>
      <c r="E142" s="23"/>
      <c r="K142" s="23"/>
      <c r="L142" s="23"/>
      <c r="M142" s="23"/>
    </row>
    <row r="143">
      <c r="B143" s="27"/>
      <c r="C143" s="27"/>
      <c r="D143" s="23"/>
      <c r="E143" s="23"/>
      <c r="K143" s="23"/>
      <c r="L143" s="23"/>
      <c r="M143" s="23"/>
    </row>
    <row r="144">
      <c r="B144" s="27"/>
      <c r="C144" s="27"/>
      <c r="D144" s="23"/>
      <c r="E144" s="23"/>
      <c r="K144" s="23"/>
      <c r="L144" s="23"/>
      <c r="M144" s="23"/>
    </row>
    <row r="145">
      <c r="B145" s="27"/>
      <c r="C145" s="27"/>
      <c r="D145" s="23"/>
      <c r="E145" s="23"/>
      <c r="K145" s="23"/>
      <c r="L145" s="23"/>
      <c r="M145" s="23"/>
    </row>
    <row r="146">
      <c r="B146" s="27"/>
      <c r="C146" s="27"/>
      <c r="D146" s="23"/>
      <c r="E146" s="23"/>
      <c r="K146" s="23"/>
      <c r="L146" s="23"/>
      <c r="M146" s="23"/>
    </row>
    <row r="147">
      <c r="B147" s="27"/>
      <c r="C147" s="27"/>
      <c r="D147" s="23"/>
      <c r="E147" s="23"/>
      <c r="K147" s="23"/>
      <c r="L147" s="23"/>
      <c r="M147" s="23"/>
    </row>
    <row r="148">
      <c r="B148" s="27"/>
      <c r="C148" s="27"/>
      <c r="D148" s="23"/>
      <c r="E148" s="23"/>
      <c r="K148" s="23"/>
      <c r="L148" s="23"/>
      <c r="M148" s="23"/>
    </row>
    <row r="149">
      <c r="B149" s="27"/>
      <c r="C149" s="27"/>
      <c r="D149" s="23"/>
      <c r="E149" s="23"/>
      <c r="K149" s="23"/>
      <c r="L149" s="23"/>
      <c r="M149" s="23"/>
    </row>
    <row r="150">
      <c r="B150" s="27"/>
      <c r="C150" s="27"/>
      <c r="D150" s="23"/>
      <c r="E150" s="23"/>
      <c r="K150" s="23"/>
      <c r="L150" s="23"/>
      <c r="M150" s="23"/>
    </row>
    <row r="151">
      <c r="B151" s="27"/>
      <c r="C151" s="27"/>
      <c r="D151" s="23"/>
      <c r="E151" s="23"/>
      <c r="K151" s="23"/>
      <c r="L151" s="23"/>
      <c r="M151" s="23"/>
    </row>
    <row r="152">
      <c r="B152" s="27"/>
      <c r="C152" s="27"/>
      <c r="D152" s="23"/>
      <c r="E152" s="23"/>
      <c r="K152" s="23"/>
      <c r="L152" s="23"/>
      <c r="M152" s="23"/>
    </row>
    <row r="153">
      <c r="B153" s="27"/>
      <c r="C153" s="27"/>
      <c r="D153" s="23"/>
      <c r="E153" s="23"/>
      <c r="K153" s="23"/>
      <c r="L153" s="23"/>
      <c r="M153" s="23"/>
    </row>
    <row r="154">
      <c r="B154" s="27"/>
      <c r="C154" s="27"/>
      <c r="D154" s="23"/>
      <c r="E154" s="23"/>
      <c r="K154" s="23"/>
      <c r="L154" s="23"/>
      <c r="M154" s="23"/>
    </row>
    <row r="155">
      <c r="B155" s="27"/>
      <c r="C155" s="27"/>
      <c r="D155" s="23"/>
      <c r="E155" s="23"/>
      <c r="K155" s="23"/>
      <c r="L155" s="23"/>
      <c r="M155" s="23"/>
    </row>
    <row r="156">
      <c r="B156" s="27"/>
      <c r="C156" s="27"/>
      <c r="D156" s="23"/>
      <c r="E156" s="23"/>
      <c r="K156" s="23"/>
      <c r="L156" s="23"/>
      <c r="M156" s="23"/>
    </row>
    <row r="157">
      <c r="B157" s="27"/>
      <c r="C157" s="27"/>
      <c r="D157" s="23"/>
      <c r="E157" s="23"/>
      <c r="K157" s="23"/>
      <c r="L157" s="23"/>
      <c r="M157" s="23"/>
    </row>
    <row r="158">
      <c r="B158" s="27"/>
      <c r="C158" s="27"/>
      <c r="D158" s="23"/>
      <c r="E158" s="23"/>
      <c r="K158" s="23"/>
      <c r="L158" s="23"/>
      <c r="M158" s="23"/>
    </row>
    <row r="159">
      <c r="B159" s="27"/>
      <c r="C159" s="27"/>
      <c r="D159" s="23"/>
      <c r="E159" s="23"/>
      <c r="K159" s="23"/>
      <c r="L159" s="23"/>
      <c r="M159" s="23"/>
    </row>
    <row r="160">
      <c r="B160" s="27"/>
      <c r="C160" s="27"/>
      <c r="D160" s="23"/>
      <c r="E160" s="23"/>
      <c r="K160" s="23"/>
      <c r="L160" s="23"/>
      <c r="M160" s="23"/>
    </row>
    <row r="161">
      <c r="B161" s="27"/>
      <c r="C161" s="27"/>
      <c r="D161" s="23"/>
      <c r="E161" s="23"/>
      <c r="K161" s="23"/>
      <c r="L161" s="23"/>
      <c r="M161" s="23"/>
    </row>
    <row r="162">
      <c r="B162" s="27"/>
      <c r="C162" s="27"/>
      <c r="D162" s="23"/>
      <c r="E162" s="23"/>
      <c r="K162" s="23"/>
      <c r="L162" s="23"/>
      <c r="M162" s="23"/>
    </row>
    <row r="163">
      <c r="B163" s="27"/>
      <c r="C163" s="27"/>
      <c r="D163" s="23"/>
      <c r="E163" s="23"/>
      <c r="K163" s="23"/>
      <c r="L163" s="23"/>
      <c r="M163" s="23"/>
    </row>
    <row r="164">
      <c r="B164" s="27"/>
      <c r="C164" s="27"/>
      <c r="D164" s="23"/>
      <c r="E164" s="23"/>
      <c r="K164" s="23"/>
      <c r="L164" s="23"/>
      <c r="M164" s="23"/>
    </row>
    <row r="165">
      <c r="B165" s="27"/>
      <c r="C165" s="27"/>
      <c r="D165" s="23"/>
      <c r="E165" s="23"/>
      <c r="K165" s="23"/>
      <c r="L165" s="23"/>
      <c r="M165" s="23"/>
    </row>
    <row r="166">
      <c r="B166" s="27"/>
      <c r="C166" s="27"/>
      <c r="D166" s="23"/>
      <c r="E166" s="23"/>
      <c r="K166" s="23"/>
      <c r="L166" s="23"/>
      <c r="M166" s="23"/>
    </row>
    <row r="167">
      <c r="B167" s="27"/>
      <c r="C167" s="27"/>
      <c r="D167" s="23"/>
      <c r="E167" s="23"/>
      <c r="K167" s="23"/>
      <c r="L167" s="23"/>
      <c r="M167" s="23"/>
    </row>
    <row r="168">
      <c r="B168" s="27"/>
      <c r="C168" s="27"/>
      <c r="D168" s="23"/>
      <c r="E168" s="23"/>
      <c r="K168" s="23"/>
      <c r="L168" s="23"/>
      <c r="M168" s="23"/>
    </row>
    <row r="169">
      <c r="B169" s="27"/>
      <c r="C169" s="27"/>
      <c r="D169" s="23"/>
      <c r="E169" s="23"/>
      <c r="K169" s="23"/>
      <c r="L169" s="23"/>
      <c r="M169" s="23"/>
    </row>
    <row r="170">
      <c r="B170" s="27"/>
      <c r="C170" s="27"/>
      <c r="D170" s="23"/>
      <c r="E170" s="23"/>
      <c r="K170" s="23"/>
      <c r="L170" s="23"/>
      <c r="M170" s="23"/>
    </row>
    <row r="171">
      <c r="B171" s="27"/>
      <c r="C171" s="27"/>
      <c r="D171" s="23"/>
      <c r="E171" s="23"/>
      <c r="K171" s="23"/>
      <c r="L171" s="23"/>
      <c r="M171" s="23"/>
    </row>
    <row r="172">
      <c r="B172" s="27"/>
      <c r="C172" s="27"/>
      <c r="D172" s="23"/>
      <c r="E172" s="23"/>
      <c r="K172" s="23"/>
      <c r="L172" s="23"/>
      <c r="M172" s="23"/>
    </row>
    <row r="173">
      <c r="B173" s="27"/>
      <c r="C173" s="27"/>
      <c r="D173" s="23"/>
      <c r="E173" s="23"/>
      <c r="K173" s="23"/>
      <c r="L173" s="23"/>
      <c r="M173" s="23"/>
    </row>
    <row r="174">
      <c r="B174" s="27"/>
      <c r="C174" s="27"/>
      <c r="D174" s="23"/>
      <c r="E174" s="23"/>
      <c r="K174" s="23"/>
      <c r="L174" s="23"/>
      <c r="M174" s="23"/>
    </row>
    <row r="175">
      <c r="B175" s="27"/>
      <c r="C175" s="27"/>
      <c r="D175" s="23"/>
      <c r="E175" s="23"/>
      <c r="K175" s="23"/>
      <c r="L175" s="23"/>
      <c r="M175" s="23"/>
    </row>
    <row r="176">
      <c r="B176" s="27"/>
      <c r="C176" s="27"/>
      <c r="D176" s="23"/>
      <c r="E176" s="23"/>
      <c r="K176" s="23"/>
      <c r="L176" s="23"/>
      <c r="M176" s="23"/>
    </row>
    <row r="177">
      <c r="B177" s="27"/>
      <c r="C177" s="27"/>
      <c r="D177" s="23"/>
      <c r="E177" s="23"/>
      <c r="K177" s="23"/>
      <c r="L177" s="23"/>
      <c r="M177" s="23"/>
    </row>
    <row r="178">
      <c r="B178" s="27"/>
      <c r="C178" s="27"/>
      <c r="D178" s="23"/>
      <c r="E178" s="23"/>
      <c r="K178" s="23"/>
      <c r="L178" s="23"/>
      <c r="M178" s="23"/>
    </row>
    <row r="179">
      <c r="B179" s="27"/>
      <c r="C179" s="27"/>
      <c r="D179" s="23"/>
      <c r="E179" s="23"/>
      <c r="K179" s="23"/>
      <c r="L179" s="23"/>
      <c r="M179" s="23"/>
    </row>
    <row r="180">
      <c r="B180" s="27"/>
      <c r="C180" s="27"/>
      <c r="D180" s="23"/>
      <c r="E180" s="23"/>
      <c r="K180" s="23"/>
      <c r="L180" s="23"/>
      <c r="M180" s="23"/>
    </row>
    <row r="181">
      <c r="B181" s="27"/>
      <c r="C181" s="27"/>
      <c r="D181" s="23"/>
      <c r="E181" s="23"/>
      <c r="K181" s="23"/>
      <c r="L181" s="23"/>
      <c r="M181" s="23"/>
    </row>
    <row r="182">
      <c r="B182" s="27"/>
      <c r="C182" s="27"/>
      <c r="D182" s="23"/>
      <c r="E182" s="23"/>
      <c r="K182" s="23"/>
      <c r="L182" s="23"/>
      <c r="M182" s="23"/>
    </row>
    <row r="183">
      <c r="B183" s="27"/>
      <c r="C183" s="27"/>
      <c r="D183" s="23"/>
      <c r="E183" s="23"/>
      <c r="K183" s="23"/>
      <c r="L183" s="23"/>
      <c r="M183" s="23"/>
    </row>
    <row r="184">
      <c r="B184" s="27"/>
      <c r="C184" s="27"/>
      <c r="D184" s="23"/>
      <c r="E184" s="23"/>
      <c r="K184" s="23"/>
      <c r="L184" s="23"/>
      <c r="M184" s="23"/>
    </row>
    <row r="185">
      <c r="B185" s="27"/>
      <c r="C185" s="27"/>
      <c r="D185" s="23"/>
      <c r="E185" s="23"/>
      <c r="K185" s="23"/>
      <c r="L185" s="23"/>
      <c r="M185" s="23"/>
    </row>
    <row r="186">
      <c r="B186" s="27"/>
      <c r="C186" s="27"/>
      <c r="D186" s="23"/>
      <c r="E186" s="23"/>
      <c r="K186" s="23"/>
      <c r="L186" s="23"/>
      <c r="M186" s="23"/>
    </row>
    <row r="187">
      <c r="B187" s="27"/>
      <c r="C187" s="27"/>
      <c r="D187" s="23"/>
      <c r="E187" s="23"/>
      <c r="K187" s="23"/>
      <c r="L187" s="23"/>
      <c r="M187" s="23"/>
    </row>
    <row r="188">
      <c r="B188" s="27"/>
      <c r="C188" s="27"/>
      <c r="D188" s="23"/>
      <c r="E188" s="23"/>
      <c r="K188" s="23"/>
      <c r="L188" s="23"/>
      <c r="M188" s="23"/>
    </row>
    <row r="189">
      <c r="B189" s="27"/>
      <c r="C189" s="27"/>
      <c r="D189" s="23"/>
      <c r="E189" s="23"/>
      <c r="K189" s="23"/>
      <c r="L189" s="23"/>
      <c r="M189" s="23"/>
    </row>
    <row r="190">
      <c r="B190" s="27"/>
      <c r="C190" s="27"/>
      <c r="D190" s="23"/>
      <c r="E190" s="23"/>
      <c r="K190" s="23"/>
      <c r="L190" s="23"/>
      <c r="M190" s="23"/>
    </row>
    <row r="191">
      <c r="B191" s="27"/>
      <c r="C191" s="27"/>
      <c r="D191" s="23"/>
      <c r="E191" s="23"/>
      <c r="K191" s="23"/>
      <c r="L191" s="23"/>
      <c r="M191" s="23"/>
    </row>
    <row r="192">
      <c r="B192" s="27"/>
      <c r="C192" s="27"/>
      <c r="D192" s="23"/>
      <c r="E192" s="23"/>
      <c r="K192" s="23"/>
      <c r="L192" s="23"/>
      <c r="M192" s="23"/>
    </row>
    <row r="193">
      <c r="B193" s="27"/>
      <c r="C193" s="27"/>
      <c r="D193" s="23"/>
      <c r="E193" s="23"/>
      <c r="K193" s="23"/>
      <c r="L193" s="23"/>
      <c r="M193" s="23"/>
    </row>
    <row r="194">
      <c r="B194" s="27"/>
      <c r="C194" s="27"/>
      <c r="D194" s="23"/>
      <c r="E194" s="23"/>
      <c r="K194" s="23"/>
      <c r="L194" s="23"/>
      <c r="M194" s="23"/>
    </row>
    <row r="195">
      <c r="B195" s="27"/>
      <c r="C195" s="27"/>
      <c r="D195" s="23"/>
      <c r="E195" s="23"/>
      <c r="K195" s="23"/>
      <c r="L195" s="23"/>
      <c r="M195" s="23"/>
    </row>
    <row r="196">
      <c r="B196" s="27"/>
      <c r="C196" s="27"/>
      <c r="D196" s="23"/>
      <c r="E196" s="23"/>
      <c r="K196" s="23"/>
      <c r="L196" s="23"/>
      <c r="M196" s="23"/>
    </row>
    <row r="197">
      <c r="B197" s="27"/>
      <c r="C197" s="27"/>
      <c r="D197" s="23"/>
      <c r="E197" s="23"/>
      <c r="K197" s="23"/>
      <c r="L197" s="23"/>
      <c r="M197" s="23"/>
    </row>
    <row r="198">
      <c r="B198" s="27"/>
      <c r="C198" s="27"/>
      <c r="D198" s="23"/>
      <c r="E198" s="23"/>
      <c r="K198" s="23"/>
      <c r="L198" s="23"/>
      <c r="M198" s="23"/>
    </row>
    <row r="199">
      <c r="B199" s="27"/>
      <c r="C199" s="27"/>
      <c r="D199" s="23"/>
      <c r="E199" s="23"/>
      <c r="K199" s="23"/>
      <c r="L199" s="23"/>
      <c r="M199" s="23"/>
    </row>
    <row r="200">
      <c r="B200" s="27"/>
      <c r="C200" s="27"/>
      <c r="D200" s="23"/>
      <c r="E200" s="23"/>
      <c r="K200" s="23"/>
      <c r="L200" s="23"/>
      <c r="M200" s="23"/>
    </row>
    <row r="201">
      <c r="B201" s="27"/>
      <c r="C201" s="27"/>
      <c r="D201" s="23"/>
      <c r="E201" s="23"/>
      <c r="K201" s="23"/>
      <c r="L201" s="23"/>
      <c r="M201" s="23"/>
    </row>
    <row r="202">
      <c r="B202" s="27"/>
      <c r="C202" s="27"/>
      <c r="D202" s="23"/>
      <c r="E202" s="23"/>
      <c r="K202" s="23"/>
      <c r="L202" s="23"/>
      <c r="M202" s="23"/>
    </row>
    <row r="203">
      <c r="B203" s="27"/>
      <c r="C203" s="27"/>
      <c r="D203" s="23"/>
      <c r="E203" s="23"/>
      <c r="K203" s="23"/>
      <c r="L203" s="23"/>
      <c r="M203" s="23"/>
    </row>
    <row r="204">
      <c r="B204" s="27"/>
      <c r="C204" s="27"/>
      <c r="D204" s="23"/>
      <c r="E204" s="23"/>
      <c r="K204" s="23"/>
      <c r="L204" s="23"/>
      <c r="M204" s="23"/>
    </row>
    <row r="205">
      <c r="B205" s="27"/>
      <c r="C205" s="27"/>
      <c r="D205" s="23"/>
      <c r="E205" s="23"/>
      <c r="K205" s="23"/>
      <c r="L205" s="23"/>
      <c r="M205" s="23"/>
    </row>
    <row r="206">
      <c r="B206" s="27"/>
      <c r="C206" s="27"/>
      <c r="D206" s="23"/>
      <c r="E206" s="23"/>
      <c r="K206" s="23"/>
      <c r="L206" s="23"/>
      <c r="M206" s="23"/>
    </row>
    <row r="207">
      <c r="B207" s="27"/>
      <c r="C207" s="27"/>
      <c r="D207" s="23"/>
      <c r="E207" s="23"/>
      <c r="K207" s="23"/>
      <c r="L207" s="23"/>
      <c r="M207" s="23"/>
    </row>
    <row r="208">
      <c r="B208" s="27"/>
      <c r="C208" s="27"/>
      <c r="D208" s="23"/>
      <c r="E208" s="23"/>
      <c r="K208" s="23"/>
      <c r="L208" s="23"/>
      <c r="M208" s="23"/>
    </row>
    <row r="209">
      <c r="B209" s="27"/>
      <c r="C209" s="27"/>
      <c r="D209" s="23"/>
      <c r="E209" s="23"/>
      <c r="K209" s="23"/>
      <c r="L209" s="23"/>
      <c r="M209" s="23"/>
    </row>
    <row r="210">
      <c r="B210" s="27"/>
      <c r="C210" s="27"/>
      <c r="D210" s="23"/>
      <c r="E210" s="23"/>
      <c r="K210" s="23"/>
      <c r="L210" s="23"/>
      <c r="M210" s="23"/>
    </row>
    <row r="211">
      <c r="B211" s="27"/>
      <c r="C211" s="27"/>
      <c r="D211" s="23"/>
      <c r="E211" s="23"/>
      <c r="K211" s="23"/>
      <c r="L211" s="23"/>
      <c r="M211" s="23"/>
    </row>
    <row r="212">
      <c r="B212" s="27"/>
      <c r="C212" s="27"/>
      <c r="D212" s="23"/>
      <c r="E212" s="23"/>
      <c r="K212" s="23"/>
      <c r="L212" s="23"/>
      <c r="M212" s="23"/>
    </row>
    <row r="213">
      <c r="B213" s="27"/>
      <c r="C213" s="27"/>
      <c r="D213" s="23"/>
      <c r="E213" s="23"/>
      <c r="K213" s="23"/>
      <c r="L213" s="23"/>
      <c r="M213" s="23"/>
    </row>
    <row r="214">
      <c r="B214" s="27"/>
      <c r="C214" s="27"/>
      <c r="D214" s="23"/>
      <c r="E214" s="23"/>
      <c r="K214" s="23"/>
      <c r="L214" s="23"/>
      <c r="M214" s="23"/>
    </row>
    <row r="215">
      <c r="B215" s="27"/>
      <c r="C215" s="27"/>
      <c r="D215" s="23"/>
      <c r="E215" s="23"/>
      <c r="K215" s="23"/>
      <c r="L215" s="23"/>
      <c r="M215" s="23"/>
    </row>
    <row r="216">
      <c r="B216" s="27"/>
      <c r="C216" s="27"/>
      <c r="D216" s="23"/>
      <c r="E216" s="23"/>
      <c r="K216" s="23"/>
      <c r="L216" s="23"/>
      <c r="M216" s="23"/>
    </row>
    <row r="217">
      <c r="B217" s="27"/>
      <c r="C217" s="27"/>
      <c r="D217" s="23"/>
      <c r="E217" s="23"/>
      <c r="K217" s="23"/>
      <c r="L217" s="23"/>
      <c r="M217" s="23"/>
    </row>
    <row r="218">
      <c r="B218" s="27"/>
      <c r="C218" s="27"/>
      <c r="D218" s="23"/>
      <c r="E218" s="23"/>
      <c r="K218" s="23"/>
      <c r="L218" s="23"/>
      <c r="M218" s="23"/>
    </row>
    <row r="219">
      <c r="B219" s="27"/>
      <c r="C219" s="27"/>
      <c r="D219" s="23"/>
      <c r="E219" s="23"/>
      <c r="K219" s="23"/>
      <c r="L219" s="23"/>
      <c r="M219" s="23"/>
    </row>
    <row r="220">
      <c r="B220" s="27"/>
      <c r="C220" s="27"/>
      <c r="D220" s="23"/>
      <c r="E220" s="23"/>
      <c r="K220" s="23"/>
      <c r="L220" s="23"/>
      <c r="M220" s="23"/>
    </row>
    <row r="221">
      <c r="B221" s="27"/>
      <c r="C221" s="27"/>
      <c r="D221" s="23"/>
      <c r="E221" s="23"/>
      <c r="K221" s="23"/>
      <c r="L221" s="23"/>
      <c r="M221" s="23"/>
    </row>
    <row r="222">
      <c r="B222" s="27"/>
      <c r="C222" s="27"/>
      <c r="D222" s="23"/>
      <c r="E222" s="23"/>
      <c r="K222" s="23"/>
      <c r="L222" s="23"/>
      <c r="M222" s="23"/>
    </row>
    <row r="223">
      <c r="B223" s="27"/>
      <c r="C223" s="27"/>
      <c r="D223" s="23"/>
      <c r="E223" s="23"/>
      <c r="K223" s="23"/>
      <c r="L223" s="23"/>
      <c r="M223" s="23"/>
    </row>
    <row r="224">
      <c r="B224" s="27"/>
      <c r="C224" s="27"/>
      <c r="D224" s="23"/>
      <c r="E224" s="23"/>
      <c r="K224" s="23"/>
      <c r="L224" s="23"/>
      <c r="M224" s="23"/>
    </row>
    <row r="225">
      <c r="B225" s="27"/>
      <c r="C225" s="27"/>
      <c r="D225" s="23"/>
      <c r="E225" s="23"/>
      <c r="K225" s="23"/>
      <c r="L225" s="23"/>
      <c r="M225" s="23"/>
    </row>
    <row r="226">
      <c r="B226" s="27"/>
      <c r="C226" s="27"/>
      <c r="D226" s="23"/>
      <c r="E226" s="23"/>
      <c r="K226" s="23"/>
      <c r="L226" s="23"/>
      <c r="M226" s="23"/>
    </row>
    <row r="227">
      <c r="B227" s="27"/>
      <c r="C227" s="27"/>
      <c r="D227" s="23"/>
      <c r="E227" s="23"/>
      <c r="K227" s="23"/>
      <c r="L227" s="23"/>
      <c r="M227" s="23"/>
    </row>
    <row r="228">
      <c r="B228" s="27"/>
      <c r="C228" s="27"/>
      <c r="D228" s="23"/>
      <c r="E228" s="23"/>
      <c r="K228" s="23"/>
      <c r="L228" s="23"/>
      <c r="M228" s="23"/>
    </row>
    <row r="229">
      <c r="B229" s="27"/>
      <c r="C229" s="27"/>
      <c r="D229" s="23"/>
      <c r="E229" s="23"/>
      <c r="K229" s="23"/>
      <c r="L229" s="23"/>
      <c r="M229" s="23"/>
    </row>
    <row r="230">
      <c r="B230" s="27"/>
      <c r="C230" s="27"/>
      <c r="D230" s="23"/>
      <c r="E230" s="23"/>
      <c r="K230" s="23"/>
      <c r="L230" s="23"/>
      <c r="M230" s="23"/>
    </row>
    <row r="231">
      <c r="B231" s="27"/>
      <c r="C231" s="27"/>
      <c r="D231" s="23"/>
      <c r="E231" s="23"/>
      <c r="K231" s="23"/>
      <c r="L231" s="23"/>
      <c r="M231" s="23"/>
    </row>
    <row r="232">
      <c r="B232" s="27"/>
      <c r="C232" s="27"/>
      <c r="D232" s="23"/>
      <c r="E232" s="23"/>
      <c r="K232" s="23"/>
      <c r="L232" s="23"/>
      <c r="M232" s="23"/>
    </row>
    <row r="233">
      <c r="B233" s="27"/>
      <c r="C233" s="27"/>
      <c r="D233" s="23"/>
      <c r="E233" s="23"/>
      <c r="K233" s="23"/>
      <c r="L233" s="23"/>
      <c r="M233" s="23"/>
    </row>
    <row r="234">
      <c r="B234" s="27"/>
      <c r="C234" s="27"/>
      <c r="D234" s="23"/>
      <c r="E234" s="23"/>
      <c r="K234" s="23"/>
      <c r="L234" s="23"/>
      <c r="M234" s="23"/>
    </row>
    <row r="235">
      <c r="B235" s="27"/>
      <c r="C235" s="27"/>
      <c r="D235" s="23"/>
      <c r="E235" s="23"/>
      <c r="K235" s="23"/>
      <c r="L235" s="23"/>
      <c r="M235" s="23"/>
    </row>
    <row r="236">
      <c r="B236" s="27"/>
      <c r="C236" s="27"/>
      <c r="D236" s="23"/>
      <c r="E236" s="23"/>
      <c r="K236" s="23"/>
      <c r="L236" s="23"/>
      <c r="M236" s="23"/>
    </row>
    <row r="237">
      <c r="B237" s="27"/>
      <c r="C237" s="27"/>
      <c r="D237" s="23"/>
      <c r="E237" s="23"/>
      <c r="K237" s="23"/>
      <c r="L237" s="23"/>
      <c r="M237" s="23"/>
    </row>
    <row r="238">
      <c r="B238" s="27"/>
      <c r="C238" s="27"/>
      <c r="D238" s="23"/>
      <c r="E238" s="23"/>
      <c r="K238" s="23"/>
      <c r="L238" s="23"/>
      <c r="M238" s="23"/>
    </row>
    <row r="239">
      <c r="B239" s="27"/>
      <c r="C239" s="27"/>
      <c r="D239" s="23"/>
      <c r="E239" s="23"/>
      <c r="K239" s="23"/>
      <c r="L239" s="23"/>
      <c r="M239" s="23"/>
    </row>
    <row r="240">
      <c r="B240" s="27"/>
      <c r="C240" s="27"/>
      <c r="D240" s="23"/>
      <c r="E240" s="23"/>
      <c r="K240" s="23"/>
      <c r="L240" s="23"/>
      <c r="M240" s="23"/>
    </row>
    <row r="241">
      <c r="B241" s="27"/>
      <c r="C241" s="27"/>
      <c r="D241" s="23"/>
      <c r="E241" s="23"/>
      <c r="K241" s="23"/>
      <c r="L241" s="23"/>
      <c r="M241" s="23"/>
    </row>
    <row r="242">
      <c r="B242" s="27"/>
      <c r="C242" s="27"/>
      <c r="D242" s="23"/>
      <c r="E242" s="23"/>
      <c r="K242" s="23"/>
      <c r="L242" s="23"/>
      <c r="M242" s="23"/>
    </row>
    <row r="243">
      <c r="B243" s="27"/>
      <c r="C243" s="27"/>
      <c r="D243" s="23"/>
      <c r="E243" s="23"/>
      <c r="K243" s="23"/>
      <c r="L243" s="23"/>
      <c r="M243" s="23"/>
    </row>
    <row r="244">
      <c r="B244" s="27"/>
      <c r="C244" s="27"/>
      <c r="D244" s="23"/>
      <c r="E244" s="23"/>
      <c r="K244" s="23"/>
      <c r="L244" s="23"/>
      <c r="M244" s="23"/>
    </row>
    <row r="245">
      <c r="B245" s="27"/>
      <c r="C245" s="27"/>
      <c r="D245" s="23"/>
      <c r="E245" s="23"/>
      <c r="K245" s="23"/>
      <c r="L245" s="23"/>
      <c r="M245" s="23"/>
    </row>
    <row r="246">
      <c r="B246" s="27"/>
      <c r="C246" s="27"/>
      <c r="D246" s="23"/>
      <c r="E246" s="23"/>
      <c r="K246" s="23"/>
      <c r="L246" s="23"/>
      <c r="M246" s="23"/>
    </row>
    <row r="247">
      <c r="B247" s="27"/>
      <c r="C247" s="27"/>
      <c r="D247" s="23"/>
      <c r="E247" s="23"/>
      <c r="K247" s="23"/>
      <c r="L247" s="23"/>
      <c r="M247" s="23"/>
    </row>
    <row r="248">
      <c r="B248" s="27"/>
      <c r="C248" s="27"/>
      <c r="D248" s="23"/>
      <c r="E248" s="23"/>
      <c r="K248" s="23"/>
      <c r="L248" s="23"/>
      <c r="M248" s="23"/>
    </row>
    <row r="249">
      <c r="B249" s="27"/>
      <c r="C249" s="27"/>
      <c r="D249" s="23"/>
      <c r="E249" s="23"/>
      <c r="K249" s="23"/>
      <c r="L249" s="23"/>
      <c r="M249" s="23"/>
    </row>
    <row r="250">
      <c r="B250" s="27"/>
      <c r="C250" s="27"/>
      <c r="D250" s="23"/>
      <c r="E250" s="23"/>
      <c r="K250" s="23"/>
      <c r="L250" s="23"/>
      <c r="M250" s="23"/>
    </row>
    <row r="251">
      <c r="B251" s="27"/>
      <c r="C251" s="27"/>
      <c r="D251" s="23"/>
      <c r="E251" s="23"/>
      <c r="K251" s="23"/>
      <c r="L251" s="23"/>
      <c r="M251" s="23"/>
    </row>
    <row r="252">
      <c r="B252" s="27"/>
      <c r="C252" s="27"/>
      <c r="D252" s="23"/>
      <c r="E252" s="23"/>
      <c r="K252" s="23"/>
      <c r="L252" s="23"/>
      <c r="M252" s="23"/>
    </row>
    <row r="253">
      <c r="B253" s="27"/>
      <c r="C253" s="27"/>
      <c r="D253" s="23"/>
      <c r="E253" s="23"/>
      <c r="K253" s="23"/>
      <c r="L253" s="23"/>
      <c r="M253" s="23"/>
    </row>
    <row r="254">
      <c r="B254" s="27"/>
      <c r="C254" s="27"/>
      <c r="D254" s="23"/>
      <c r="E254" s="23"/>
      <c r="K254" s="23"/>
      <c r="L254" s="23"/>
      <c r="M254" s="23"/>
    </row>
    <row r="255">
      <c r="B255" s="27"/>
      <c r="C255" s="27"/>
      <c r="D255" s="23"/>
      <c r="E255" s="23"/>
      <c r="K255" s="23"/>
      <c r="L255" s="23"/>
      <c r="M255" s="23"/>
    </row>
    <row r="256">
      <c r="B256" s="27"/>
      <c r="C256" s="27"/>
      <c r="D256" s="23"/>
      <c r="E256" s="23"/>
      <c r="K256" s="23"/>
      <c r="L256" s="23"/>
      <c r="M256" s="23"/>
    </row>
    <row r="257">
      <c r="B257" s="27"/>
      <c r="C257" s="27"/>
      <c r="D257" s="23"/>
      <c r="E257" s="23"/>
      <c r="K257" s="23"/>
      <c r="L257" s="23"/>
      <c r="M257" s="23"/>
    </row>
    <row r="258">
      <c r="B258" s="27"/>
      <c r="C258" s="27"/>
      <c r="D258" s="23"/>
      <c r="E258" s="23"/>
      <c r="K258" s="23"/>
      <c r="L258" s="23"/>
      <c r="M258" s="23"/>
    </row>
    <row r="259">
      <c r="B259" s="27"/>
      <c r="C259" s="27"/>
      <c r="D259" s="23"/>
      <c r="E259" s="23"/>
      <c r="K259" s="23"/>
      <c r="L259" s="23"/>
      <c r="M259" s="23"/>
    </row>
    <row r="260">
      <c r="B260" s="27"/>
      <c r="C260" s="27"/>
      <c r="D260" s="23"/>
      <c r="E260" s="23"/>
      <c r="K260" s="23"/>
      <c r="L260" s="23"/>
      <c r="M260" s="23"/>
    </row>
    <row r="261">
      <c r="B261" s="27"/>
      <c r="C261" s="27"/>
      <c r="D261" s="23"/>
      <c r="E261" s="23"/>
      <c r="K261" s="23"/>
      <c r="L261" s="23"/>
      <c r="M261" s="23"/>
    </row>
    <row r="262">
      <c r="B262" s="27"/>
      <c r="C262" s="27"/>
      <c r="D262" s="23"/>
      <c r="E262" s="23"/>
      <c r="K262" s="23"/>
      <c r="L262" s="23"/>
      <c r="M262" s="23"/>
    </row>
    <row r="263">
      <c r="B263" s="27"/>
      <c r="C263" s="27"/>
      <c r="D263" s="23"/>
      <c r="E263" s="23"/>
      <c r="K263" s="23"/>
      <c r="L263" s="23"/>
      <c r="M263" s="23"/>
    </row>
    <row r="264">
      <c r="B264" s="27"/>
      <c r="C264" s="27"/>
      <c r="D264" s="23"/>
      <c r="E264" s="23"/>
      <c r="K264" s="23"/>
      <c r="L264" s="23"/>
      <c r="M264" s="23"/>
    </row>
    <row r="265">
      <c r="B265" s="27"/>
      <c r="C265" s="27"/>
      <c r="D265" s="23"/>
      <c r="E265" s="23"/>
      <c r="K265" s="23"/>
      <c r="L265" s="23"/>
      <c r="M265" s="23"/>
    </row>
    <row r="266">
      <c r="B266" s="27"/>
      <c r="C266" s="27"/>
      <c r="D266" s="23"/>
      <c r="E266" s="23"/>
      <c r="K266" s="23"/>
      <c r="L266" s="23"/>
      <c r="M266" s="23"/>
    </row>
    <row r="267">
      <c r="B267" s="27"/>
      <c r="C267" s="27"/>
      <c r="D267" s="23"/>
      <c r="E267" s="23"/>
      <c r="K267" s="23"/>
      <c r="L267" s="23"/>
      <c r="M267" s="23"/>
    </row>
    <row r="268">
      <c r="B268" s="27"/>
      <c r="C268" s="27"/>
      <c r="D268" s="23"/>
      <c r="E268" s="23"/>
      <c r="K268" s="23"/>
      <c r="L268" s="23"/>
      <c r="M268" s="23"/>
    </row>
    <row r="269">
      <c r="B269" s="27"/>
      <c r="C269" s="27"/>
      <c r="D269" s="23"/>
      <c r="E269" s="23"/>
      <c r="K269" s="23"/>
      <c r="L269" s="23"/>
      <c r="M269" s="23"/>
    </row>
    <row r="270">
      <c r="B270" s="27"/>
      <c r="C270" s="27"/>
      <c r="D270" s="23"/>
      <c r="E270" s="23"/>
      <c r="K270" s="23"/>
      <c r="L270" s="23"/>
      <c r="M270" s="23"/>
    </row>
    <row r="271">
      <c r="B271" s="27"/>
      <c r="C271" s="27"/>
      <c r="D271" s="23"/>
      <c r="E271" s="23"/>
      <c r="K271" s="23"/>
      <c r="L271" s="23"/>
      <c r="M271" s="23"/>
    </row>
    <row r="272">
      <c r="B272" s="27"/>
      <c r="C272" s="27"/>
      <c r="D272" s="23"/>
      <c r="E272" s="23"/>
      <c r="K272" s="23"/>
      <c r="L272" s="23"/>
      <c r="M272" s="23"/>
    </row>
    <row r="273">
      <c r="B273" s="27"/>
      <c r="C273" s="27"/>
      <c r="D273" s="23"/>
      <c r="E273" s="23"/>
      <c r="K273" s="23"/>
      <c r="L273" s="23"/>
      <c r="M273" s="23"/>
    </row>
    <row r="274">
      <c r="B274" s="27"/>
      <c r="C274" s="27"/>
      <c r="D274" s="23"/>
      <c r="E274" s="23"/>
      <c r="K274" s="23"/>
      <c r="L274" s="23"/>
      <c r="M274" s="23"/>
    </row>
    <row r="275">
      <c r="B275" s="27"/>
      <c r="C275" s="27"/>
      <c r="D275" s="23"/>
      <c r="E275" s="23"/>
      <c r="K275" s="23"/>
      <c r="L275" s="23"/>
      <c r="M275" s="23"/>
    </row>
    <row r="276">
      <c r="B276" s="27"/>
      <c r="C276" s="27"/>
      <c r="D276" s="23"/>
      <c r="E276" s="23"/>
      <c r="K276" s="23"/>
      <c r="L276" s="23"/>
      <c r="M276" s="23"/>
    </row>
    <row r="277">
      <c r="B277" s="27"/>
      <c r="C277" s="27"/>
      <c r="D277" s="23"/>
      <c r="E277" s="23"/>
      <c r="K277" s="23"/>
      <c r="L277" s="23"/>
      <c r="M277" s="23"/>
    </row>
    <row r="278">
      <c r="B278" s="27"/>
      <c r="C278" s="27"/>
      <c r="D278" s="23"/>
      <c r="E278" s="23"/>
      <c r="K278" s="23"/>
      <c r="L278" s="23"/>
      <c r="M278" s="23"/>
    </row>
    <row r="279">
      <c r="B279" s="27"/>
      <c r="C279" s="27"/>
      <c r="D279" s="23"/>
      <c r="E279" s="23"/>
      <c r="K279" s="23"/>
      <c r="L279" s="23"/>
      <c r="M279" s="23"/>
    </row>
    <row r="280">
      <c r="B280" s="27"/>
      <c r="C280" s="27"/>
      <c r="D280" s="23"/>
      <c r="E280" s="23"/>
      <c r="K280" s="23"/>
      <c r="L280" s="23"/>
      <c r="M280" s="23"/>
    </row>
    <row r="281">
      <c r="B281" s="27"/>
      <c r="C281" s="27"/>
      <c r="D281" s="23"/>
      <c r="E281" s="23"/>
      <c r="K281" s="23"/>
      <c r="L281" s="23"/>
      <c r="M281" s="23"/>
    </row>
    <row r="282">
      <c r="B282" s="27"/>
      <c r="C282" s="27"/>
      <c r="D282" s="23"/>
      <c r="E282" s="23"/>
      <c r="K282" s="23"/>
      <c r="L282" s="23"/>
      <c r="M282" s="23"/>
    </row>
    <row r="283">
      <c r="B283" s="27"/>
      <c r="C283" s="27"/>
      <c r="D283" s="23"/>
      <c r="E283" s="23"/>
      <c r="K283" s="23"/>
      <c r="L283" s="23"/>
      <c r="M283" s="23"/>
    </row>
    <row r="284">
      <c r="B284" s="27"/>
      <c r="C284" s="27"/>
      <c r="D284" s="23"/>
      <c r="E284" s="23"/>
      <c r="K284" s="23"/>
      <c r="L284" s="23"/>
      <c r="M284" s="23"/>
    </row>
    <row r="285">
      <c r="B285" s="27"/>
      <c r="C285" s="27"/>
      <c r="D285" s="23"/>
      <c r="E285" s="23"/>
      <c r="K285" s="23"/>
      <c r="L285" s="23"/>
      <c r="M285" s="23"/>
    </row>
    <row r="286">
      <c r="B286" s="27"/>
      <c r="C286" s="27"/>
      <c r="D286" s="23"/>
      <c r="E286" s="23"/>
      <c r="K286" s="23"/>
      <c r="L286" s="23"/>
      <c r="M286" s="23"/>
    </row>
    <row r="287">
      <c r="B287" s="27"/>
      <c r="C287" s="27"/>
      <c r="D287" s="23"/>
      <c r="E287" s="23"/>
      <c r="K287" s="23"/>
      <c r="L287" s="23"/>
      <c r="M287" s="23"/>
    </row>
    <row r="288">
      <c r="B288" s="27"/>
      <c r="C288" s="27"/>
      <c r="D288" s="23"/>
      <c r="E288" s="23"/>
      <c r="K288" s="23"/>
      <c r="L288" s="23"/>
      <c r="M288" s="23"/>
    </row>
    <row r="289">
      <c r="B289" s="27"/>
      <c r="C289" s="27"/>
      <c r="D289" s="23"/>
      <c r="E289" s="23"/>
      <c r="K289" s="23"/>
      <c r="L289" s="23"/>
      <c r="M289" s="23"/>
    </row>
    <row r="290">
      <c r="B290" s="27"/>
      <c r="C290" s="27"/>
      <c r="D290" s="23"/>
      <c r="E290" s="23"/>
      <c r="K290" s="23"/>
      <c r="L290" s="23"/>
      <c r="M290" s="23"/>
    </row>
    <row r="291">
      <c r="B291" s="27"/>
      <c r="C291" s="27"/>
      <c r="D291" s="23"/>
      <c r="E291" s="23"/>
      <c r="K291" s="23"/>
      <c r="L291" s="23"/>
      <c r="M291" s="23"/>
    </row>
    <row r="292">
      <c r="B292" s="27"/>
      <c r="C292" s="27"/>
      <c r="D292" s="23"/>
      <c r="E292" s="23"/>
      <c r="K292" s="23"/>
      <c r="L292" s="23"/>
      <c r="M292" s="23"/>
    </row>
    <row r="293">
      <c r="B293" s="27"/>
      <c r="C293" s="27"/>
      <c r="D293" s="23"/>
      <c r="E293" s="23"/>
      <c r="K293" s="23"/>
      <c r="L293" s="23"/>
      <c r="M293" s="23"/>
    </row>
    <row r="294">
      <c r="B294" s="27"/>
      <c r="C294" s="27"/>
      <c r="D294" s="23"/>
      <c r="E294" s="23"/>
      <c r="K294" s="23"/>
      <c r="L294" s="23"/>
      <c r="M294" s="23"/>
    </row>
    <row r="295">
      <c r="B295" s="27"/>
      <c r="C295" s="27"/>
      <c r="D295" s="23"/>
      <c r="E295" s="23"/>
      <c r="K295" s="23"/>
      <c r="L295" s="23"/>
      <c r="M295" s="23"/>
    </row>
    <row r="296">
      <c r="B296" s="27"/>
      <c r="C296" s="27"/>
      <c r="D296" s="23"/>
      <c r="E296" s="23"/>
      <c r="K296" s="23"/>
      <c r="L296" s="23"/>
      <c r="M296" s="23"/>
    </row>
    <row r="297">
      <c r="B297" s="27"/>
      <c r="C297" s="27"/>
      <c r="D297" s="23"/>
      <c r="E297" s="23"/>
      <c r="K297" s="23"/>
      <c r="L297" s="23"/>
      <c r="M297" s="23"/>
    </row>
    <row r="298">
      <c r="B298" s="27"/>
      <c r="C298" s="27"/>
      <c r="D298" s="23"/>
      <c r="E298" s="23"/>
      <c r="K298" s="23"/>
      <c r="L298" s="23"/>
      <c r="M298" s="23"/>
    </row>
    <row r="299">
      <c r="B299" s="27"/>
      <c r="C299" s="27"/>
      <c r="D299" s="23"/>
      <c r="E299" s="23"/>
      <c r="K299" s="23"/>
      <c r="L299" s="23"/>
      <c r="M299" s="23"/>
    </row>
    <row r="300">
      <c r="B300" s="27"/>
      <c r="C300" s="27"/>
      <c r="D300" s="23"/>
      <c r="E300" s="23"/>
      <c r="K300" s="23"/>
      <c r="L300" s="23"/>
      <c r="M300" s="23"/>
    </row>
    <row r="301">
      <c r="B301" s="27"/>
      <c r="C301" s="27"/>
      <c r="D301" s="23"/>
      <c r="E301" s="23"/>
      <c r="K301" s="23"/>
      <c r="L301" s="23"/>
      <c r="M301" s="23"/>
    </row>
    <row r="302">
      <c r="B302" s="27"/>
      <c r="C302" s="27"/>
      <c r="D302" s="23"/>
      <c r="E302" s="23"/>
      <c r="K302" s="23"/>
      <c r="L302" s="23"/>
      <c r="M302" s="23"/>
    </row>
    <row r="303">
      <c r="B303" s="27"/>
      <c r="C303" s="27"/>
      <c r="D303" s="23"/>
      <c r="E303" s="23"/>
      <c r="K303" s="23"/>
      <c r="L303" s="23"/>
      <c r="M303" s="23"/>
    </row>
    <row r="304">
      <c r="B304" s="27"/>
      <c r="C304" s="27"/>
      <c r="D304" s="23"/>
      <c r="E304" s="23"/>
      <c r="K304" s="23"/>
      <c r="L304" s="23"/>
      <c r="M304" s="23"/>
    </row>
    <row r="305">
      <c r="B305" s="27"/>
      <c r="C305" s="27"/>
      <c r="D305" s="23"/>
      <c r="E305" s="23"/>
      <c r="K305" s="23"/>
      <c r="L305" s="23"/>
      <c r="M305" s="23"/>
    </row>
    <row r="306">
      <c r="B306" s="27"/>
      <c r="C306" s="27"/>
      <c r="D306" s="23"/>
      <c r="E306" s="23"/>
      <c r="K306" s="23"/>
      <c r="L306" s="23"/>
      <c r="M306" s="23"/>
    </row>
    <row r="307">
      <c r="B307" s="27"/>
      <c r="C307" s="27"/>
      <c r="D307" s="23"/>
      <c r="E307" s="23"/>
      <c r="K307" s="23"/>
      <c r="L307" s="23"/>
      <c r="M307" s="23"/>
    </row>
    <row r="308">
      <c r="B308" s="27"/>
      <c r="C308" s="27"/>
      <c r="D308" s="23"/>
      <c r="E308" s="23"/>
      <c r="K308" s="23"/>
      <c r="L308" s="23"/>
      <c r="M308" s="23"/>
    </row>
    <row r="309">
      <c r="B309" s="27"/>
      <c r="C309" s="27"/>
      <c r="D309" s="23"/>
      <c r="E309" s="23"/>
      <c r="K309" s="23"/>
      <c r="L309" s="23"/>
      <c r="M309" s="23"/>
    </row>
    <row r="310">
      <c r="B310" s="27"/>
      <c r="C310" s="27"/>
      <c r="D310" s="23"/>
      <c r="E310" s="23"/>
      <c r="K310" s="23"/>
      <c r="L310" s="23"/>
      <c r="M310" s="23"/>
    </row>
    <row r="311">
      <c r="B311" s="27"/>
      <c r="C311" s="27"/>
      <c r="D311" s="23"/>
      <c r="E311" s="23"/>
      <c r="K311" s="23"/>
      <c r="L311" s="23"/>
      <c r="M311" s="23"/>
    </row>
    <row r="312">
      <c r="B312" s="27"/>
      <c r="C312" s="27"/>
      <c r="D312" s="23"/>
      <c r="E312" s="23"/>
      <c r="K312" s="23"/>
      <c r="L312" s="23"/>
      <c r="M312" s="23"/>
    </row>
    <row r="313">
      <c r="B313" s="27"/>
      <c r="C313" s="27"/>
      <c r="D313" s="23"/>
      <c r="E313" s="23"/>
      <c r="K313" s="23"/>
      <c r="L313" s="23"/>
      <c r="M313" s="23"/>
    </row>
    <row r="314">
      <c r="B314" s="27"/>
      <c r="C314" s="27"/>
      <c r="D314" s="23"/>
      <c r="E314" s="23"/>
      <c r="K314" s="23"/>
      <c r="L314" s="23"/>
      <c r="M314" s="23"/>
    </row>
    <row r="315">
      <c r="B315" s="27"/>
      <c r="C315" s="27"/>
      <c r="D315" s="23"/>
      <c r="E315" s="23"/>
      <c r="K315" s="23"/>
      <c r="L315" s="23"/>
      <c r="M315" s="23"/>
    </row>
    <row r="316">
      <c r="B316" s="27"/>
      <c r="C316" s="27"/>
      <c r="D316" s="23"/>
      <c r="E316" s="23"/>
      <c r="K316" s="23"/>
      <c r="L316" s="23"/>
      <c r="M316" s="23"/>
    </row>
    <row r="317">
      <c r="B317" s="27"/>
      <c r="C317" s="27"/>
      <c r="D317" s="23"/>
      <c r="E317" s="23"/>
      <c r="K317" s="23"/>
      <c r="L317" s="23"/>
      <c r="M317" s="23"/>
    </row>
    <row r="318">
      <c r="B318" s="27"/>
      <c r="C318" s="27"/>
      <c r="D318" s="23"/>
      <c r="E318" s="23"/>
      <c r="K318" s="23"/>
      <c r="L318" s="23"/>
      <c r="M318" s="23"/>
    </row>
    <row r="319">
      <c r="B319" s="27"/>
      <c r="C319" s="27"/>
      <c r="D319" s="23"/>
      <c r="E319" s="23"/>
      <c r="K319" s="23"/>
      <c r="L319" s="23"/>
      <c r="M319" s="23"/>
    </row>
    <row r="320">
      <c r="B320" s="27"/>
      <c r="C320" s="27"/>
      <c r="D320" s="23"/>
      <c r="E320" s="23"/>
      <c r="K320" s="23"/>
      <c r="L320" s="23"/>
      <c r="M320" s="23"/>
    </row>
    <row r="321">
      <c r="B321" s="27"/>
      <c r="C321" s="27"/>
      <c r="D321" s="23"/>
      <c r="E321" s="23"/>
      <c r="K321" s="23"/>
      <c r="L321" s="23"/>
      <c r="M321" s="23"/>
    </row>
    <row r="322">
      <c r="B322" s="27"/>
      <c r="C322" s="27"/>
      <c r="D322" s="23"/>
      <c r="E322" s="23"/>
      <c r="K322" s="23"/>
      <c r="L322" s="23"/>
      <c r="M322" s="23"/>
    </row>
    <row r="323">
      <c r="B323" s="27"/>
      <c r="C323" s="27"/>
      <c r="D323" s="23"/>
      <c r="E323" s="23"/>
      <c r="K323" s="23"/>
      <c r="L323" s="23"/>
      <c r="M323" s="23"/>
    </row>
    <row r="324">
      <c r="B324" s="27"/>
      <c r="C324" s="27"/>
      <c r="D324" s="23"/>
      <c r="E324" s="23"/>
      <c r="K324" s="23"/>
      <c r="L324" s="23"/>
      <c r="M324" s="23"/>
    </row>
    <row r="325">
      <c r="B325" s="27"/>
      <c r="C325" s="27"/>
      <c r="D325" s="23"/>
      <c r="E325" s="23"/>
      <c r="K325" s="23"/>
      <c r="L325" s="23"/>
      <c r="M325" s="23"/>
    </row>
    <row r="326">
      <c r="B326" s="27"/>
      <c r="C326" s="27"/>
      <c r="D326" s="23"/>
      <c r="E326" s="23"/>
      <c r="K326" s="23"/>
      <c r="L326" s="23"/>
      <c r="M326" s="23"/>
    </row>
    <row r="327">
      <c r="B327" s="27"/>
      <c r="C327" s="27"/>
      <c r="D327" s="23"/>
      <c r="E327" s="23"/>
      <c r="K327" s="23"/>
      <c r="L327" s="23"/>
      <c r="M327" s="23"/>
    </row>
    <row r="328">
      <c r="B328" s="27"/>
      <c r="C328" s="27"/>
      <c r="D328" s="23"/>
      <c r="E328" s="23"/>
      <c r="K328" s="23"/>
      <c r="L328" s="23"/>
      <c r="M328" s="23"/>
    </row>
    <row r="329">
      <c r="B329" s="27"/>
      <c r="C329" s="27"/>
      <c r="D329" s="23"/>
      <c r="E329" s="23"/>
      <c r="K329" s="23"/>
      <c r="L329" s="23"/>
      <c r="M329" s="23"/>
    </row>
    <row r="330">
      <c r="B330" s="27"/>
      <c r="C330" s="27"/>
      <c r="D330" s="23"/>
      <c r="E330" s="23"/>
      <c r="K330" s="23"/>
      <c r="L330" s="23"/>
      <c r="M330" s="23"/>
    </row>
    <row r="331">
      <c r="B331" s="27"/>
      <c r="C331" s="27"/>
      <c r="D331" s="23"/>
      <c r="E331" s="23"/>
      <c r="K331" s="23"/>
      <c r="L331" s="23"/>
      <c r="M331" s="23"/>
    </row>
    <row r="332">
      <c r="B332" s="27"/>
      <c r="C332" s="27"/>
      <c r="D332" s="23"/>
      <c r="E332" s="23"/>
      <c r="K332" s="23"/>
      <c r="L332" s="23"/>
      <c r="M332" s="23"/>
    </row>
    <row r="333">
      <c r="B333" s="27"/>
      <c r="C333" s="27"/>
      <c r="D333" s="23"/>
      <c r="E333" s="23"/>
      <c r="K333" s="23"/>
      <c r="L333" s="23"/>
      <c r="M333" s="23"/>
    </row>
    <row r="334">
      <c r="B334" s="27"/>
      <c r="C334" s="27"/>
      <c r="D334" s="23"/>
      <c r="E334" s="23"/>
      <c r="K334" s="23"/>
      <c r="L334" s="23"/>
      <c r="M334" s="23"/>
    </row>
    <row r="335">
      <c r="B335" s="27"/>
      <c r="C335" s="27"/>
      <c r="D335" s="23"/>
      <c r="E335" s="23"/>
      <c r="K335" s="23"/>
      <c r="L335" s="23"/>
      <c r="M335" s="23"/>
    </row>
    <row r="336">
      <c r="B336" s="27"/>
      <c r="C336" s="27"/>
      <c r="D336" s="23"/>
      <c r="E336" s="23"/>
      <c r="K336" s="23"/>
      <c r="L336" s="23"/>
      <c r="M336" s="23"/>
    </row>
    <row r="337">
      <c r="B337" s="27"/>
      <c r="C337" s="27"/>
      <c r="D337" s="23"/>
      <c r="E337" s="23"/>
      <c r="K337" s="23"/>
      <c r="L337" s="23"/>
      <c r="M337" s="23"/>
    </row>
    <row r="338">
      <c r="B338" s="27"/>
      <c r="C338" s="27"/>
      <c r="D338" s="23"/>
      <c r="E338" s="23"/>
      <c r="K338" s="23"/>
      <c r="L338" s="23"/>
      <c r="M338" s="23"/>
    </row>
    <row r="339">
      <c r="B339" s="27"/>
      <c r="C339" s="27"/>
      <c r="D339" s="23"/>
      <c r="E339" s="23"/>
      <c r="K339" s="23"/>
      <c r="L339" s="23"/>
      <c r="M339" s="23"/>
    </row>
    <row r="340">
      <c r="B340" s="27"/>
      <c r="C340" s="27"/>
      <c r="D340" s="23"/>
      <c r="E340" s="23"/>
      <c r="K340" s="23"/>
      <c r="L340" s="23"/>
      <c r="M340" s="23"/>
    </row>
    <row r="341">
      <c r="B341" s="27"/>
      <c r="C341" s="27"/>
      <c r="D341" s="23"/>
      <c r="E341" s="23"/>
      <c r="K341" s="23"/>
      <c r="L341" s="23"/>
      <c r="M341" s="23"/>
    </row>
    <row r="342">
      <c r="B342" s="27"/>
      <c r="C342" s="27"/>
      <c r="D342" s="23"/>
      <c r="E342" s="23"/>
      <c r="K342" s="23"/>
      <c r="L342" s="23"/>
      <c r="M342" s="23"/>
    </row>
    <row r="343">
      <c r="B343" s="27"/>
      <c r="C343" s="27"/>
      <c r="D343" s="23"/>
      <c r="E343" s="23"/>
      <c r="K343" s="23"/>
      <c r="L343" s="23"/>
      <c r="M343" s="23"/>
    </row>
    <row r="344">
      <c r="B344" s="27"/>
      <c r="C344" s="27"/>
      <c r="D344" s="23"/>
      <c r="E344" s="23"/>
      <c r="K344" s="23"/>
      <c r="L344" s="23"/>
      <c r="M344" s="23"/>
    </row>
    <row r="345">
      <c r="B345" s="27"/>
      <c r="C345" s="27"/>
      <c r="D345" s="23"/>
      <c r="E345" s="23"/>
      <c r="K345" s="23"/>
      <c r="L345" s="23"/>
      <c r="M345" s="23"/>
    </row>
    <row r="346">
      <c r="B346" s="27"/>
      <c r="C346" s="27"/>
      <c r="D346" s="23"/>
      <c r="E346" s="23"/>
      <c r="K346" s="23"/>
      <c r="L346" s="23"/>
      <c r="M346" s="23"/>
    </row>
    <row r="347">
      <c r="B347" s="27"/>
      <c r="C347" s="27"/>
      <c r="D347" s="23"/>
      <c r="E347" s="23"/>
      <c r="K347" s="23"/>
      <c r="L347" s="23"/>
      <c r="M347" s="23"/>
    </row>
    <row r="348">
      <c r="B348" s="27"/>
      <c r="C348" s="27"/>
      <c r="D348" s="23"/>
      <c r="E348" s="23"/>
      <c r="K348" s="23"/>
      <c r="L348" s="23"/>
      <c r="M348" s="23"/>
    </row>
    <row r="349">
      <c r="B349" s="27"/>
      <c r="C349" s="27"/>
      <c r="D349" s="23"/>
      <c r="E349" s="23"/>
      <c r="K349" s="23"/>
      <c r="L349" s="23"/>
      <c r="M349" s="23"/>
    </row>
    <row r="350">
      <c r="B350" s="27"/>
      <c r="C350" s="27"/>
      <c r="D350" s="23"/>
      <c r="E350" s="23"/>
      <c r="K350" s="23"/>
      <c r="L350" s="23"/>
      <c r="M350" s="23"/>
    </row>
    <row r="351">
      <c r="B351" s="27"/>
      <c r="C351" s="27"/>
      <c r="D351" s="23"/>
      <c r="E351" s="23"/>
      <c r="K351" s="23"/>
      <c r="L351" s="23"/>
      <c r="M351" s="23"/>
    </row>
    <row r="352">
      <c r="B352" s="27"/>
      <c r="C352" s="27"/>
      <c r="D352" s="23"/>
      <c r="E352" s="23"/>
      <c r="K352" s="23"/>
      <c r="L352" s="23"/>
      <c r="M352" s="23"/>
    </row>
    <row r="353">
      <c r="B353" s="27"/>
      <c r="C353" s="27"/>
      <c r="D353" s="23"/>
      <c r="E353" s="23"/>
      <c r="K353" s="23"/>
      <c r="L353" s="23"/>
      <c r="M353" s="23"/>
    </row>
    <row r="354">
      <c r="B354" s="27"/>
      <c r="C354" s="27"/>
      <c r="D354" s="23"/>
      <c r="E354" s="23"/>
      <c r="K354" s="23"/>
      <c r="L354" s="23"/>
      <c r="M354" s="23"/>
    </row>
    <row r="355">
      <c r="B355" s="27"/>
      <c r="C355" s="27"/>
      <c r="D355" s="23"/>
      <c r="E355" s="23"/>
      <c r="K355" s="23"/>
      <c r="L355" s="23"/>
      <c r="M355" s="23"/>
    </row>
    <row r="356">
      <c r="B356" s="27"/>
      <c r="C356" s="27"/>
      <c r="D356" s="23"/>
      <c r="E356" s="23"/>
      <c r="K356" s="23"/>
      <c r="L356" s="23"/>
      <c r="M356" s="23"/>
    </row>
    <row r="357">
      <c r="B357" s="27"/>
      <c r="C357" s="27"/>
      <c r="D357" s="23"/>
      <c r="E357" s="23"/>
      <c r="K357" s="23"/>
      <c r="L357" s="23"/>
      <c r="M357" s="23"/>
    </row>
    <row r="358">
      <c r="B358" s="27"/>
      <c r="C358" s="27"/>
      <c r="D358" s="23"/>
      <c r="E358" s="23"/>
      <c r="K358" s="23"/>
      <c r="L358" s="23"/>
      <c r="M358" s="23"/>
    </row>
    <row r="359">
      <c r="B359" s="27"/>
      <c r="C359" s="27"/>
      <c r="D359" s="23"/>
      <c r="E359" s="23"/>
      <c r="K359" s="23"/>
      <c r="L359" s="23"/>
      <c r="M359" s="23"/>
    </row>
    <row r="360">
      <c r="B360" s="27"/>
      <c r="C360" s="27"/>
      <c r="D360" s="23"/>
      <c r="E360" s="23"/>
      <c r="K360" s="23"/>
      <c r="L360" s="23"/>
      <c r="M360" s="23"/>
    </row>
    <row r="361">
      <c r="B361" s="27"/>
      <c r="C361" s="27"/>
      <c r="D361" s="23"/>
      <c r="E361" s="23"/>
      <c r="K361" s="23"/>
      <c r="L361" s="23"/>
      <c r="M361" s="23"/>
    </row>
    <row r="362">
      <c r="B362" s="27"/>
      <c r="C362" s="27"/>
      <c r="D362" s="23"/>
      <c r="E362" s="23"/>
      <c r="K362" s="23"/>
      <c r="L362" s="23"/>
      <c r="M362" s="23"/>
    </row>
    <row r="363">
      <c r="B363" s="27"/>
      <c r="C363" s="27"/>
      <c r="D363" s="23"/>
      <c r="E363" s="23"/>
      <c r="K363" s="23"/>
      <c r="L363" s="23"/>
      <c r="M363" s="23"/>
    </row>
    <row r="364">
      <c r="B364" s="27"/>
      <c r="C364" s="27"/>
      <c r="D364" s="23"/>
      <c r="E364" s="23"/>
      <c r="K364" s="23"/>
      <c r="L364" s="23"/>
      <c r="M364" s="23"/>
    </row>
    <row r="365">
      <c r="B365" s="27"/>
      <c r="C365" s="27"/>
      <c r="D365" s="23"/>
      <c r="E365" s="23"/>
      <c r="K365" s="23"/>
      <c r="L365" s="23"/>
      <c r="M365" s="23"/>
    </row>
    <row r="366">
      <c r="B366" s="27"/>
      <c r="C366" s="27"/>
      <c r="D366" s="23"/>
      <c r="E366" s="23"/>
      <c r="K366" s="23"/>
      <c r="L366" s="23"/>
      <c r="M366" s="23"/>
    </row>
    <row r="367">
      <c r="B367" s="27"/>
      <c r="C367" s="27"/>
      <c r="D367" s="23"/>
      <c r="E367" s="23"/>
      <c r="K367" s="23"/>
      <c r="L367" s="23"/>
      <c r="M367" s="23"/>
    </row>
    <row r="368">
      <c r="B368" s="27"/>
      <c r="C368" s="27"/>
      <c r="D368" s="23"/>
      <c r="E368" s="23"/>
      <c r="K368" s="23"/>
      <c r="L368" s="23"/>
      <c r="M368" s="23"/>
    </row>
    <row r="369">
      <c r="B369" s="27"/>
      <c r="C369" s="27"/>
      <c r="D369" s="23"/>
      <c r="E369" s="23"/>
      <c r="K369" s="23"/>
      <c r="L369" s="23"/>
      <c r="M369" s="23"/>
    </row>
    <row r="370">
      <c r="B370" s="27"/>
      <c r="C370" s="27"/>
      <c r="D370" s="23"/>
      <c r="E370" s="23"/>
      <c r="K370" s="23"/>
      <c r="L370" s="23"/>
      <c r="M370" s="23"/>
    </row>
    <row r="371">
      <c r="B371" s="27"/>
      <c r="C371" s="27"/>
      <c r="D371" s="23"/>
      <c r="E371" s="23"/>
      <c r="K371" s="23"/>
      <c r="L371" s="23"/>
      <c r="M371" s="23"/>
    </row>
    <row r="372">
      <c r="B372" s="27"/>
      <c r="C372" s="27"/>
      <c r="D372" s="23"/>
      <c r="E372" s="23"/>
      <c r="K372" s="23"/>
      <c r="L372" s="23"/>
      <c r="M372" s="23"/>
    </row>
    <row r="373">
      <c r="B373" s="27"/>
      <c r="C373" s="27"/>
      <c r="D373" s="23"/>
      <c r="E373" s="23"/>
      <c r="K373" s="23"/>
      <c r="L373" s="23"/>
      <c r="M373" s="23"/>
    </row>
    <row r="374">
      <c r="B374" s="27"/>
      <c r="C374" s="27"/>
      <c r="D374" s="23"/>
      <c r="E374" s="23"/>
      <c r="K374" s="23"/>
      <c r="L374" s="23"/>
      <c r="M374" s="23"/>
    </row>
    <row r="375">
      <c r="B375" s="27"/>
      <c r="C375" s="27"/>
      <c r="D375" s="23"/>
      <c r="E375" s="23"/>
      <c r="K375" s="23"/>
      <c r="L375" s="23"/>
      <c r="M375" s="23"/>
    </row>
    <row r="376">
      <c r="B376" s="27"/>
      <c r="C376" s="27"/>
      <c r="D376" s="23"/>
      <c r="E376" s="23"/>
      <c r="K376" s="23"/>
      <c r="L376" s="23"/>
      <c r="M376" s="23"/>
    </row>
    <row r="377">
      <c r="B377" s="27"/>
      <c r="C377" s="27"/>
      <c r="D377" s="23"/>
      <c r="E377" s="23"/>
      <c r="K377" s="23"/>
      <c r="L377" s="23"/>
      <c r="M377" s="23"/>
    </row>
    <row r="378">
      <c r="B378" s="27"/>
      <c r="C378" s="27"/>
      <c r="D378" s="23"/>
      <c r="E378" s="23"/>
      <c r="K378" s="23"/>
      <c r="L378" s="23"/>
      <c r="M378" s="23"/>
    </row>
    <row r="379">
      <c r="B379" s="27"/>
      <c r="C379" s="27"/>
      <c r="D379" s="23"/>
      <c r="E379" s="23"/>
      <c r="K379" s="23"/>
      <c r="L379" s="23"/>
      <c r="M379" s="23"/>
    </row>
    <row r="380">
      <c r="B380" s="27"/>
      <c r="C380" s="27"/>
      <c r="D380" s="23"/>
      <c r="E380" s="23"/>
      <c r="K380" s="23"/>
      <c r="L380" s="23"/>
      <c r="M380" s="23"/>
    </row>
    <row r="381">
      <c r="B381" s="27"/>
      <c r="C381" s="27"/>
      <c r="D381" s="23"/>
      <c r="E381" s="23"/>
      <c r="K381" s="23"/>
      <c r="L381" s="23"/>
      <c r="M381" s="23"/>
    </row>
    <row r="382">
      <c r="B382" s="27"/>
      <c r="C382" s="27"/>
      <c r="D382" s="23"/>
      <c r="E382" s="23"/>
      <c r="K382" s="23"/>
      <c r="L382" s="23"/>
      <c r="M382" s="23"/>
    </row>
    <row r="383">
      <c r="B383" s="27"/>
      <c r="C383" s="27"/>
      <c r="D383" s="23"/>
      <c r="E383" s="23"/>
      <c r="K383" s="23"/>
      <c r="L383" s="23"/>
      <c r="M383" s="23"/>
    </row>
    <row r="384">
      <c r="B384" s="27"/>
      <c r="C384" s="27"/>
      <c r="D384" s="23"/>
      <c r="E384" s="23"/>
      <c r="K384" s="23"/>
      <c r="L384" s="23"/>
      <c r="M384" s="23"/>
    </row>
    <row r="385">
      <c r="B385" s="27"/>
      <c r="C385" s="27"/>
      <c r="D385" s="23"/>
      <c r="E385" s="23"/>
      <c r="K385" s="23"/>
      <c r="L385" s="23"/>
      <c r="M385" s="23"/>
    </row>
    <row r="386">
      <c r="B386" s="27"/>
      <c r="C386" s="27"/>
      <c r="D386" s="23"/>
      <c r="E386" s="23"/>
      <c r="K386" s="23"/>
      <c r="L386" s="23"/>
      <c r="M386" s="23"/>
    </row>
    <row r="387">
      <c r="B387" s="27"/>
      <c r="C387" s="27"/>
      <c r="D387" s="23"/>
      <c r="E387" s="23"/>
      <c r="K387" s="23"/>
      <c r="L387" s="23"/>
      <c r="M387" s="23"/>
    </row>
    <row r="388">
      <c r="B388" s="27"/>
      <c r="C388" s="27"/>
      <c r="D388" s="23"/>
      <c r="E388" s="23"/>
      <c r="K388" s="23"/>
      <c r="L388" s="23"/>
      <c r="M388" s="23"/>
    </row>
    <row r="389">
      <c r="B389" s="27"/>
      <c r="C389" s="27"/>
      <c r="D389" s="23"/>
      <c r="E389" s="23"/>
      <c r="K389" s="23"/>
      <c r="L389" s="23"/>
      <c r="M389" s="23"/>
    </row>
    <row r="390">
      <c r="B390" s="27"/>
      <c r="C390" s="27"/>
      <c r="D390" s="23"/>
      <c r="E390" s="23"/>
      <c r="K390" s="23"/>
      <c r="L390" s="23"/>
      <c r="M390" s="23"/>
    </row>
    <row r="391">
      <c r="B391" s="27"/>
      <c r="C391" s="27"/>
      <c r="D391" s="23"/>
      <c r="E391" s="23"/>
      <c r="K391" s="23"/>
      <c r="L391" s="23"/>
      <c r="M391" s="23"/>
    </row>
    <row r="392">
      <c r="B392" s="27"/>
      <c r="C392" s="27"/>
      <c r="D392" s="23"/>
      <c r="E392" s="23"/>
      <c r="K392" s="23"/>
      <c r="L392" s="23"/>
      <c r="M392" s="23"/>
    </row>
    <row r="393">
      <c r="B393" s="27"/>
      <c r="C393" s="27"/>
      <c r="D393" s="23"/>
      <c r="E393" s="23"/>
      <c r="K393" s="23"/>
      <c r="L393" s="23"/>
      <c r="M393" s="23"/>
    </row>
    <row r="394">
      <c r="B394" s="27"/>
      <c r="C394" s="27"/>
      <c r="D394" s="23"/>
      <c r="E394" s="23"/>
      <c r="K394" s="23"/>
      <c r="L394" s="23"/>
      <c r="M394" s="23"/>
    </row>
    <row r="395">
      <c r="B395" s="27"/>
      <c r="C395" s="27"/>
      <c r="D395" s="23"/>
      <c r="E395" s="23"/>
      <c r="K395" s="23"/>
      <c r="L395" s="23"/>
      <c r="M395" s="23"/>
    </row>
    <row r="396">
      <c r="B396" s="27"/>
      <c r="C396" s="27"/>
      <c r="D396" s="23"/>
      <c r="E396" s="23"/>
      <c r="K396" s="23"/>
      <c r="L396" s="23"/>
      <c r="M396" s="23"/>
    </row>
    <row r="397">
      <c r="B397" s="27"/>
      <c r="C397" s="27"/>
      <c r="D397" s="23"/>
      <c r="E397" s="23"/>
      <c r="K397" s="23"/>
      <c r="L397" s="23"/>
      <c r="M397" s="23"/>
    </row>
    <row r="398">
      <c r="B398" s="27"/>
      <c r="C398" s="27"/>
      <c r="D398" s="23"/>
      <c r="E398" s="23"/>
      <c r="K398" s="23"/>
      <c r="L398" s="23"/>
      <c r="M398" s="23"/>
    </row>
    <row r="399">
      <c r="B399" s="27"/>
      <c r="C399" s="27"/>
      <c r="D399" s="23"/>
      <c r="E399" s="23"/>
      <c r="K399" s="23"/>
      <c r="L399" s="23"/>
      <c r="M399" s="23"/>
    </row>
    <row r="400">
      <c r="B400" s="27"/>
      <c r="C400" s="27"/>
      <c r="D400" s="23"/>
      <c r="E400" s="23"/>
      <c r="K400" s="23"/>
      <c r="L400" s="23"/>
      <c r="M400" s="23"/>
    </row>
    <row r="401">
      <c r="B401" s="27"/>
      <c r="C401" s="27"/>
      <c r="D401" s="23"/>
      <c r="E401" s="23"/>
      <c r="K401" s="23"/>
      <c r="L401" s="23"/>
      <c r="M401" s="23"/>
    </row>
    <row r="402">
      <c r="B402" s="27"/>
      <c r="C402" s="27"/>
      <c r="D402" s="23"/>
      <c r="E402" s="23"/>
      <c r="K402" s="23"/>
      <c r="L402" s="23"/>
      <c r="M402" s="23"/>
    </row>
    <row r="403">
      <c r="B403" s="27"/>
      <c r="C403" s="27"/>
      <c r="D403" s="23"/>
      <c r="E403" s="23"/>
      <c r="K403" s="23"/>
      <c r="L403" s="23"/>
      <c r="M403" s="23"/>
    </row>
    <row r="404">
      <c r="B404" s="27"/>
      <c r="C404" s="27"/>
      <c r="D404" s="23"/>
      <c r="E404" s="23"/>
      <c r="K404" s="23"/>
      <c r="L404" s="23"/>
      <c r="M404" s="23"/>
    </row>
    <row r="405">
      <c r="B405" s="27"/>
      <c r="C405" s="27"/>
      <c r="D405" s="23"/>
      <c r="E405" s="23"/>
      <c r="K405" s="23"/>
      <c r="L405" s="23"/>
      <c r="M405" s="23"/>
    </row>
    <row r="406">
      <c r="B406" s="27"/>
      <c r="C406" s="27"/>
      <c r="D406" s="23"/>
      <c r="E406" s="23"/>
      <c r="K406" s="23"/>
      <c r="L406" s="23"/>
      <c r="M406" s="23"/>
    </row>
    <row r="407">
      <c r="B407" s="27"/>
      <c r="C407" s="27"/>
      <c r="D407" s="23"/>
      <c r="E407" s="23"/>
      <c r="K407" s="23"/>
      <c r="L407" s="23"/>
      <c r="M407" s="23"/>
    </row>
    <row r="408">
      <c r="B408" s="27"/>
      <c r="C408" s="27"/>
      <c r="D408" s="23"/>
      <c r="E408" s="23"/>
      <c r="K408" s="23"/>
      <c r="L408" s="23"/>
      <c r="M408" s="23"/>
    </row>
    <row r="409">
      <c r="B409" s="27"/>
      <c r="C409" s="27"/>
      <c r="D409" s="23"/>
      <c r="E409" s="23"/>
      <c r="K409" s="23"/>
      <c r="L409" s="23"/>
      <c r="M409" s="23"/>
    </row>
    <row r="410">
      <c r="B410" s="27"/>
      <c r="C410" s="27"/>
      <c r="D410" s="23"/>
      <c r="E410" s="23"/>
      <c r="K410" s="23"/>
      <c r="L410" s="23"/>
      <c r="M410" s="23"/>
    </row>
    <row r="411">
      <c r="B411" s="27"/>
      <c r="C411" s="27"/>
      <c r="D411" s="23"/>
      <c r="E411" s="23"/>
      <c r="K411" s="23"/>
      <c r="L411" s="23"/>
      <c r="M411" s="23"/>
    </row>
    <row r="412">
      <c r="B412" s="27"/>
      <c r="C412" s="27"/>
      <c r="D412" s="23"/>
      <c r="E412" s="23"/>
      <c r="K412" s="23"/>
      <c r="L412" s="23"/>
      <c r="M412" s="23"/>
    </row>
    <row r="413">
      <c r="B413" s="27"/>
      <c r="C413" s="27"/>
      <c r="D413" s="23"/>
      <c r="E413" s="23"/>
      <c r="K413" s="23"/>
      <c r="L413" s="23"/>
      <c r="M413" s="23"/>
    </row>
    <row r="414">
      <c r="B414" s="27"/>
      <c r="C414" s="27"/>
      <c r="D414" s="23"/>
      <c r="E414" s="23"/>
      <c r="K414" s="23"/>
      <c r="L414" s="23"/>
      <c r="M414" s="23"/>
    </row>
    <row r="415">
      <c r="B415" s="27"/>
      <c r="C415" s="27"/>
      <c r="D415" s="23"/>
      <c r="E415" s="23"/>
      <c r="K415" s="23"/>
      <c r="L415" s="23"/>
      <c r="M415" s="23"/>
    </row>
    <row r="416">
      <c r="B416" s="27"/>
      <c r="C416" s="27"/>
      <c r="D416" s="23"/>
      <c r="E416" s="23"/>
      <c r="K416" s="23"/>
      <c r="L416" s="23"/>
      <c r="M416" s="23"/>
    </row>
    <row r="417">
      <c r="B417" s="27"/>
      <c r="C417" s="27"/>
      <c r="D417" s="23"/>
      <c r="E417" s="23"/>
      <c r="K417" s="23"/>
      <c r="L417" s="23"/>
      <c r="M417" s="23"/>
    </row>
    <row r="418">
      <c r="B418" s="27"/>
      <c r="C418" s="27"/>
      <c r="D418" s="23"/>
      <c r="E418" s="23"/>
      <c r="K418" s="23"/>
      <c r="L418" s="23"/>
      <c r="M418" s="23"/>
    </row>
    <row r="419">
      <c r="B419" s="27"/>
      <c r="C419" s="27"/>
      <c r="D419" s="23"/>
      <c r="E419" s="23"/>
      <c r="K419" s="23"/>
      <c r="L419" s="23"/>
      <c r="M419" s="23"/>
    </row>
    <row r="420">
      <c r="B420" s="27"/>
      <c r="C420" s="27"/>
      <c r="D420" s="23"/>
      <c r="E420" s="23"/>
      <c r="K420" s="23"/>
      <c r="L420" s="23"/>
      <c r="M420" s="23"/>
    </row>
    <row r="421">
      <c r="B421" s="27"/>
      <c r="C421" s="27"/>
      <c r="D421" s="23"/>
      <c r="E421" s="23"/>
      <c r="K421" s="23"/>
      <c r="L421" s="23"/>
      <c r="M421" s="23"/>
    </row>
    <row r="422">
      <c r="B422" s="27"/>
      <c r="C422" s="27"/>
      <c r="D422" s="23"/>
      <c r="E422" s="23"/>
      <c r="K422" s="23"/>
      <c r="L422" s="23"/>
      <c r="M422" s="23"/>
    </row>
    <row r="423">
      <c r="B423" s="27"/>
      <c r="C423" s="27"/>
      <c r="D423" s="23"/>
      <c r="E423" s="23"/>
      <c r="K423" s="23"/>
      <c r="L423" s="23"/>
      <c r="M423" s="23"/>
    </row>
    <row r="424">
      <c r="B424" s="27"/>
      <c r="C424" s="27"/>
      <c r="D424" s="23"/>
      <c r="E424" s="23"/>
      <c r="K424" s="23"/>
      <c r="L424" s="23"/>
      <c r="M424" s="23"/>
    </row>
    <row r="425">
      <c r="B425" s="27"/>
      <c r="C425" s="27"/>
      <c r="D425" s="23"/>
      <c r="E425" s="23"/>
      <c r="K425" s="23"/>
      <c r="L425" s="23"/>
      <c r="M425" s="23"/>
    </row>
    <row r="426">
      <c r="B426" s="27"/>
      <c r="C426" s="27"/>
      <c r="D426" s="23"/>
      <c r="E426" s="23"/>
      <c r="K426" s="23"/>
      <c r="L426" s="23"/>
      <c r="M426" s="23"/>
    </row>
    <row r="427">
      <c r="B427" s="27"/>
      <c r="C427" s="27"/>
      <c r="D427" s="23"/>
      <c r="E427" s="23"/>
      <c r="K427" s="23"/>
      <c r="L427" s="23"/>
      <c r="M427" s="23"/>
    </row>
    <row r="428">
      <c r="B428" s="27"/>
      <c r="C428" s="27"/>
      <c r="D428" s="23"/>
      <c r="E428" s="23"/>
      <c r="K428" s="23"/>
      <c r="L428" s="23"/>
      <c r="M428" s="23"/>
    </row>
    <row r="429">
      <c r="B429" s="27"/>
      <c r="C429" s="27"/>
      <c r="D429" s="23"/>
      <c r="E429" s="23"/>
      <c r="K429" s="23"/>
      <c r="L429" s="23"/>
      <c r="M429" s="23"/>
    </row>
    <row r="430">
      <c r="B430" s="27"/>
      <c r="C430" s="27"/>
      <c r="D430" s="23"/>
      <c r="E430" s="23"/>
      <c r="K430" s="23"/>
      <c r="L430" s="23"/>
      <c r="M430" s="23"/>
    </row>
    <row r="431">
      <c r="B431" s="27"/>
      <c r="C431" s="27"/>
      <c r="D431" s="23"/>
      <c r="E431" s="23"/>
      <c r="K431" s="23"/>
      <c r="L431" s="23"/>
      <c r="M431" s="23"/>
    </row>
    <row r="432">
      <c r="B432" s="27"/>
      <c r="C432" s="27"/>
      <c r="D432" s="23"/>
      <c r="E432" s="23"/>
      <c r="K432" s="23"/>
      <c r="L432" s="23"/>
      <c r="M432" s="23"/>
    </row>
    <row r="433">
      <c r="B433" s="27"/>
      <c r="C433" s="27"/>
      <c r="D433" s="23"/>
      <c r="E433" s="23"/>
      <c r="K433" s="23"/>
      <c r="L433" s="23"/>
      <c r="M433" s="23"/>
    </row>
    <row r="434">
      <c r="B434" s="27"/>
      <c r="C434" s="27"/>
      <c r="D434" s="23"/>
      <c r="E434" s="23"/>
      <c r="K434" s="23"/>
      <c r="L434" s="23"/>
      <c r="M434" s="23"/>
    </row>
    <row r="435">
      <c r="B435" s="27"/>
      <c r="C435" s="27"/>
      <c r="D435" s="23"/>
      <c r="E435" s="23"/>
      <c r="K435" s="23"/>
      <c r="L435" s="23"/>
      <c r="M435" s="23"/>
    </row>
    <row r="436">
      <c r="B436" s="27"/>
      <c r="C436" s="27"/>
      <c r="D436" s="23"/>
      <c r="E436" s="23"/>
      <c r="K436" s="23"/>
      <c r="L436" s="23"/>
      <c r="M436" s="23"/>
    </row>
    <row r="437">
      <c r="B437" s="27"/>
      <c r="C437" s="27"/>
      <c r="D437" s="23"/>
      <c r="E437" s="23"/>
      <c r="K437" s="23"/>
      <c r="L437" s="23"/>
      <c r="M437" s="23"/>
    </row>
    <row r="438">
      <c r="B438" s="27"/>
      <c r="C438" s="27"/>
      <c r="D438" s="23"/>
      <c r="E438" s="23"/>
      <c r="K438" s="23"/>
      <c r="L438" s="23"/>
      <c r="M438" s="23"/>
    </row>
    <row r="439">
      <c r="B439" s="27"/>
      <c r="C439" s="27"/>
      <c r="D439" s="23"/>
      <c r="E439" s="23"/>
      <c r="K439" s="23"/>
      <c r="L439" s="23"/>
      <c r="M439" s="23"/>
    </row>
    <row r="440">
      <c r="B440" s="27"/>
      <c r="C440" s="27"/>
      <c r="D440" s="23"/>
      <c r="E440" s="23"/>
      <c r="K440" s="23"/>
      <c r="L440" s="23"/>
      <c r="M440" s="23"/>
    </row>
    <row r="441">
      <c r="B441" s="27"/>
      <c r="C441" s="27"/>
      <c r="D441" s="23"/>
      <c r="E441" s="23"/>
      <c r="K441" s="23"/>
      <c r="L441" s="23"/>
      <c r="M441" s="23"/>
    </row>
    <row r="442">
      <c r="B442" s="27"/>
      <c r="C442" s="27"/>
      <c r="D442" s="23"/>
      <c r="E442" s="23"/>
      <c r="K442" s="23"/>
      <c r="L442" s="23"/>
      <c r="M442" s="23"/>
    </row>
    <row r="443">
      <c r="B443" s="27"/>
      <c r="C443" s="27"/>
      <c r="D443" s="23"/>
      <c r="E443" s="23"/>
      <c r="K443" s="23"/>
      <c r="L443" s="23"/>
      <c r="M443" s="23"/>
    </row>
    <row r="444">
      <c r="B444" s="27"/>
      <c r="C444" s="27"/>
      <c r="D444" s="23"/>
      <c r="E444" s="23"/>
      <c r="K444" s="23"/>
      <c r="L444" s="23"/>
      <c r="M444" s="23"/>
    </row>
    <row r="445">
      <c r="B445" s="27"/>
      <c r="C445" s="27"/>
      <c r="D445" s="23"/>
      <c r="E445" s="23"/>
      <c r="K445" s="23"/>
      <c r="L445" s="23"/>
      <c r="M445" s="23"/>
    </row>
    <row r="446">
      <c r="B446" s="27"/>
      <c r="C446" s="27"/>
      <c r="D446" s="23"/>
      <c r="E446" s="23"/>
      <c r="K446" s="23"/>
      <c r="L446" s="23"/>
      <c r="M446" s="23"/>
    </row>
    <row r="447">
      <c r="B447" s="27"/>
      <c r="C447" s="27"/>
      <c r="D447" s="23"/>
      <c r="E447" s="23"/>
      <c r="K447" s="23"/>
      <c r="L447" s="23"/>
      <c r="M447" s="23"/>
    </row>
    <row r="448">
      <c r="B448" s="27"/>
      <c r="C448" s="27"/>
      <c r="D448" s="23"/>
      <c r="E448" s="23"/>
      <c r="K448" s="23"/>
      <c r="L448" s="23"/>
      <c r="M448" s="23"/>
    </row>
    <row r="449">
      <c r="B449" s="27"/>
      <c r="C449" s="27"/>
      <c r="D449" s="23"/>
      <c r="E449" s="23"/>
      <c r="K449" s="23"/>
      <c r="L449" s="23"/>
      <c r="M449" s="23"/>
    </row>
    <row r="450">
      <c r="B450" s="27"/>
      <c r="C450" s="27"/>
      <c r="D450" s="23"/>
      <c r="E450" s="23"/>
      <c r="K450" s="23"/>
      <c r="L450" s="23"/>
      <c r="M450" s="23"/>
    </row>
    <row r="451">
      <c r="B451" s="27"/>
      <c r="C451" s="27"/>
      <c r="D451" s="23"/>
      <c r="E451" s="23"/>
      <c r="K451" s="23"/>
      <c r="L451" s="23"/>
      <c r="M451" s="23"/>
    </row>
    <row r="452">
      <c r="B452" s="27"/>
      <c r="C452" s="27"/>
      <c r="D452" s="23"/>
      <c r="E452" s="23"/>
      <c r="K452" s="23"/>
      <c r="L452" s="23"/>
      <c r="M452" s="23"/>
    </row>
    <row r="453">
      <c r="B453" s="27"/>
      <c r="C453" s="27"/>
      <c r="D453" s="23"/>
      <c r="E453" s="23"/>
      <c r="K453" s="23"/>
      <c r="L453" s="23"/>
      <c r="M453" s="23"/>
    </row>
    <row r="454">
      <c r="B454" s="27"/>
      <c r="C454" s="27"/>
      <c r="D454" s="23"/>
      <c r="E454" s="23"/>
      <c r="K454" s="23"/>
      <c r="L454" s="23"/>
      <c r="M454" s="23"/>
    </row>
    <row r="455">
      <c r="B455" s="27"/>
      <c r="C455" s="27"/>
      <c r="D455" s="23"/>
      <c r="E455" s="23"/>
      <c r="K455" s="23"/>
      <c r="L455" s="23"/>
      <c r="M455" s="23"/>
    </row>
    <row r="456">
      <c r="B456" s="27"/>
      <c r="C456" s="27"/>
      <c r="D456" s="23"/>
      <c r="E456" s="23"/>
      <c r="K456" s="23"/>
      <c r="L456" s="23"/>
      <c r="M456" s="23"/>
    </row>
    <row r="457">
      <c r="B457" s="27"/>
      <c r="C457" s="27"/>
      <c r="D457" s="23"/>
      <c r="E457" s="23"/>
      <c r="K457" s="23"/>
      <c r="L457" s="23"/>
      <c r="M457" s="23"/>
    </row>
    <row r="458">
      <c r="B458" s="27"/>
      <c r="C458" s="27"/>
      <c r="D458" s="23"/>
      <c r="E458" s="23"/>
      <c r="K458" s="23"/>
      <c r="L458" s="23"/>
      <c r="M458" s="23"/>
    </row>
    <row r="459">
      <c r="B459" s="27"/>
      <c r="C459" s="27"/>
      <c r="D459" s="23"/>
      <c r="E459" s="23"/>
      <c r="K459" s="23"/>
      <c r="L459" s="23"/>
      <c r="M459" s="23"/>
    </row>
    <row r="460">
      <c r="B460" s="27"/>
      <c r="C460" s="27"/>
      <c r="D460" s="23"/>
      <c r="E460" s="23"/>
      <c r="K460" s="23"/>
      <c r="L460" s="23"/>
      <c r="M460" s="23"/>
    </row>
    <row r="461">
      <c r="B461" s="27"/>
      <c r="C461" s="27"/>
      <c r="D461" s="23"/>
      <c r="E461" s="23"/>
      <c r="K461" s="23"/>
      <c r="L461" s="23"/>
      <c r="M461" s="23"/>
    </row>
    <row r="462">
      <c r="B462" s="27"/>
      <c r="C462" s="27"/>
      <c r="D462" s="23"/>
      <c r="E462" s="23"/>
      <c r="K462" s="23"/>
      <c r="L462" s="23"/>
      <c r="M462" s="23"/>
    </row>
    <row r="463">
      <c r="B463" s="27"/>
      <c r="C463" s="27"/>
      <c r="D463" s="23"/>
      <c r="E463" s="23"/>
      <c r="K463" s="23"/>
      <c r="L463" s="23"/>
      <c r="M463" s="23"/>
    </row>
    <row r="464">
      <c r="B464" s="27"/>
      <c r="C464" s="27"/>
      <c r="D464" s="23"/>
      <c r="E464" s="23"/>
      <c r="K464" s="23"/>
      <c r="L464" s="23"/>
      <c r="M464" s="23"/>
    </row>
    <row r="465">
      <c r="B465" s="27"/>
      <c r="C465" s="27"/>
      <c r="D465" s="23"/>
      <c r="E465" s="23"/>
      <c r="K465" s="23"/>
      <c r="L465" s="23"/>
      <c r="M465" s="23"/>
    </row>
    <row r="466">
      <c r="B466" s="27"/>
      <c r="C466" s="27"/>
      <c r="D466" s="23"/>
      <c r="E466" s="23"/>
      <c r="K466" s="23"/>
      <c r="L466" s="23"/>
      <c r="M466" s="23"/>
    </row>
    <row r="467">
      <c r="B467" s="27"/>
      <c r="C467" s="27"/>
      <c r="D467" s="23"/>
      <c r="E467" s="23"/>
      <c r="K467" s="23"/>
      <c r="L467" s="23"/>
      <c r="M467" s="23"/>
    </row>
    <row r="468">
      <c r="B468" s="27"/>
      <c r="C468" s="27"/>
      <c r="D468" s="23"/>
      <c r="E468" s="23"/>
      <c r="K468" s="23"/>
      <c r="L468" s="23"/>
      <c r="M468" s="23"/>
    </row>
    <row r="469">
      <c r="B469" s="27"/>
      <c r="C469" s="27"/>
      <c r="D469" s="23"/>
      <c r="E469" s="23"/>
      <c r="K469" s="23"/>
      <c r="L469" s="23"/>
      <c r="M469" s="23"/>
    </row>
    <row r="470">
      <c r="B470" s="27"/>
      <c r="C470" s="27"/>
      <c r="D470" s="23"/>
      <c r="E470" s="23"/>
      <c r="K470" s="23"/>
      <c r="L470" s="23"/>
      <c r="M470" s="23"/>
    </row>
    <row r="471">
      <c r="B471" s="27"/>
      <c r="C471" s="27"/>
      <c r="D471" s="23"/>
      <c r="E471" s="23"/>
      <c r="K471" s="23"/>
      <c r="L471" s="23"/>
      <c r="M471" s="23"/>
    </row>
    <row r="472">
      <c r="B472" s="27"/>
      <c r="C472" s="27"/>
      <c r="D472" s="23"/>
      <c r="E472" s="23"/>
      <c r="K472" s="23"/>
      <c r="L472" s="23"/>
      <c r="M472" s="23"/>
    </row>
    <row r="473">
      <c r="B473" s="27"/>
      <c r="C473" s="27"/>
      <c r="D473" s="23"/>
      <c r="E473" s="23"/>
      <c r="K473" s="23"/>
      <c r="L473" s="23"/>
      <c r="M473" s="23"/>
    </row>
    <row r="474">
      <c r="B474" s="27"/>
      <c r="C474" s="27"/>
      <c r="D474" s="23"/>
      <c r="E474" s="23"/>
      <c r="K474" s="23"/>
      <c r="L474" s="23"/>
      <c r="M474" s="23"/>
    </row>
    <row r="475">
      <c r="B475" s="27"/>
      <c r="C475" s="27"/>
      <c r="D475" s="23"/>
      <c r="E475" s="23"/>
      <c r="K475" s="23"/>
      <c r="L475" s="23"/>
      <c r="M475" s="23"/>
    </row>
    <row r="476">
      <c r="B476" s="27"/>
      <c r="C476" s="27"/>
      <c r="D476" s="23"/>
      <c r="E476" s="23"/>
      <c r="K476" s="23"/>
      <c r="L476" s="23"/>
      <c r="M476" s="23"/>
    </row>
    <row r="477">
      <c r="B477" s="27"/>
      <c r="C477" s="27"/>
      <c r="D477" s="23"/>
      <c r="E477" s="23"/>
      <c r="K477" s="23"/>
      <c r="L477" s="23"/>
      <c r="M477" s="23"/>
    </row>
    <row r="478">
      <c r="B478" s="27"/>
      <c r="C478" s="27"/>
      <c r="D478" s="23"/>
      <c r="E478" s="23"/>
      <c r="K478" s="23"/>
      <c r="L478" s="23"/>
      <c r="M478" s="23"/>
    </row>
    <row r="479">
      <c r="B479" s="27"/>
      <c r="C479" s="27"/>
      <c r="D479" s="23"/>
      <c r="E479" s="23"/>
      <c r="K479" s="23"/>
      <c r="L479" s="23"/>
      <c r="M479" s="23"/>
    </row>
    <row r="480">
      <c r="B480" s="27"/>
      <c r="C480" s="27"/>
      <c r="D480" s="23"/>
      <c r="E480" s="23"/>
      <c r="K480" s="23"/>
      <c r="L480" s="23"/>
      <c r="M480" s="23"/>
    </row>
    <row r="481">
      <c r="B481" s="27"/>
      <c r="C481" s="27"/>
      <c r="D481" s="23"/>
      <c r="E481" s="23"/>
      <c r="K481" s="23"/>
      <c r="L481" s="23"/>
      <c r="M481" s="23"/>
    </row>
    <row r="482">
      <c r="B482" s="27"/>
      <c r="C482" s="27"/>
      <c r="D482" s="23"/>
      <c r="E482" s="23"/>
      <c r="K482" s="23"/>
      <c r="L482" s="23"/>
      <c r="M482" s="23"/>
    </row>
    <row r="483">
      <c r="B483" s="27"/>
      <c r="C483" s="27"/>
      <c r="D483" s="23"/>
      <c r="E483" s="23"/>
      <c r="K483" s="23"/>
      <c r="L483" s="23"/>
      <c r="M483" s="23"/>
    </row>
    <row r="484">
      <c r="B484" s="27"/>
      <c r="C484" s="27"/>
      <c r="D484" s="23"/>
      <c r="E484" s="23"/>
      <c r="K484" s="23"/>
      <c r="L484" s="23"/>
      <c r="M484" s="23"/>
    </row>
    <row r="485">
      <c r="B485" s="27"/>
      <c r="C485" s="27"/>
      <c r="D485" s="23"/>
      <c r="E485" s="23"/>
      <c r="K485" s="23"/>
      <c r="L485" s="23"/>
      <c r="M485" s="23"/>
    </row>
    <row r="486">
      <c r="B486" s="27"/>
      <c r="C486" s="27"/>
      <c r="D486" s="23"/>
      <c r="E486" s="23"/>
      <c r="K486" s="23"/>
      <c r="L486" s="23"/>
      <c r="M486" s="23"/>
    </row>
    <row r="487">
      <c r="B487" s="27"/>
      <c r="C487" s="27"/>
      <c r="D487" s="23"/>
      <c r="E487" s="23"/>
      <c r="K487" s="23"/>
      <c r="L487" s="23"/>
      <c r="M487" s="23"/>
    </row>
    <row r="488">
      <c r="B488" s="27"/>
      <c r="C488" s="27"/>
      <c r="D488" s="23"/>
      <c r="E488" s="23"/>
      <c r="K488" s="23"/>
      <c r="L488" s="23"/>
      <c r="M488" s="23"/>
    </row>
    <row r="489">
      <c r="B489" s="27"/>
      <c r="C489" s="27"/>
      <c r="D489" s="23"/>
      <c r="E489" s="23"/>
      <c r="K489" s="23"/>
      <c r="L489" s="23"/>
      <c r="M489" s="23"/>
    </row>
    <row r="490">
      <c r="B490" s="27"/>
      <c r="C490" s="27"/>
      <c r="D490" s="23"/>
      <c r="E490" s="23"/>
      <c r="K490" s="23"/>
      <c r="L490" s="23"/>
      <c r="M490" s="23"/>
    </row>
    <row r="491">
      <c r="B491" s="27"/>
      <c r="C491" s="27"/>
      <c r="D491" s="23"/>
      <c r="E491" s="23"/>
      <c r="K491" s="23"/>
      <c r="L491" s="23"/>
      <c r="M491" s="23"/>
    </row>
    <row r="492">
      <c r="B492" s="27"/>
      <c r="C492" s="27"/>
      <c r="D492" s="23"/>
      <c r="E492" s="23"/>
      <c r="K492" s="23"/>
      <c r="L492" s="23"/>
      <c r="M492" s="23"/>
    </row>
    <row r="493">
      <c r="B493" s="27"/>
      <c r="C493" s="27"/>
      <c r="D493" s="23"/>
      <c r="E493" s="23"/>
      <c r="K493" s="23"/>
      <c r="L493" s="23"/>
      <c r="M493" s="23"/>
    </row>
    <row r="494">
      <c r="B494" s="27"/>
      <c r="C494" s="27"/>
      <c r="D494" s="23"/>
      <c r="E494" s="23"/>
      <c r="K494" s="23"/>
      <c r="L494" s="23"/>
      <c r="M494" s="23"/>
    </row>
    <row r="495">
      <c r="B495" s="27"/>
      <c r="C495" s="27"/>
      <c r="D495" s="23"/>
      <c r="E495" s="23"/>
      <c r="K495" s="23"/>
      <c r="L495" s="23"/>
      <c r="M495" s="23"/>
    </row>
    <row r="496">
      <c r="B496" s="27"/>
      <c r="C496" s="27"/>
      <c r="D496" s="23"/>
      <c r="E496" s="23"/>
      <c r="K496" s="23"/>
      <c r="L496" s="23"/>
      <c r="M496" s="23"/>
    </row>
    <row r="497">
      <c r="B497" s="27"/>
      <c r="C497" s="27"/>
      <c r="D497" s="23"/>
      <c r="E497" s="23"/>
      <c r="K497" s="23"/>
      <c r="L497" s="23"/>
      <c r="M497" s="23"/>
    </row>
    <row r="498">
      <c r="B498" s="27"/>
      <c r="C498" s="27"/>
      <c r="D498" s="23"/>
      <c r="E498" s="23"/>
      <c r="K498" s="23"/>
      <c r="L498" s="23"/>
      <c r="M498" s="23"/>
    </row>
    <row r="499">
      <c r="B499" s="27"/>
      <c r="C499" s="27"/>
      <c r="D499" s="23"/>
      <c r="E499" s="23"/>
      <c r="K499" s="23"/>
      <c r="L499" s="23"/>
      <c r="M499" s="23"/>
    </row>
    <row r="500">
      <c r="B500" s="27"/>
      <c r="C500" s="27"/>
      <c r="D500" s="23"/>
      <c r="E500" s="23"/>
      <c r="K500" s="23"/>
      <c r="L500" s="23"/>
      <c r="M500" s="23"/>
    </row>
    <row r="501">
      <c r="B501" s="27"/>
      <c r="C501" s="27"/>
      <c r="D501" s="23"/>
      <c r="E501" s="23"/>
      <c r="K501" s="23"/>
      <c r="L501" s="23"/>
      <c r="M501" s="23"/>
    </row>
    <row r="502">
      <c r="B502" s="27"/>
      <c r="C502" s="27"/>
      <c r="D502" s="23"/>
      <c r="E502" s="23"/>
      <c r="K502" s="23"/>
      <c r="L502" s="23"/>
      <c r="M502" s="23"/>
    </row>
    <row r="503">
      <c r="B503" s="27"/>
      <c r="C503" s="27"/>
      <c r="D503" s="23"/>
      <c r="E503" s="23"/>
      <c r="K503" s="23"/>
      <c r="L503" s="23"/>
      <c r="M503" s="23"/>
    </row>
    <row r="504">
      <c r="B504" s="27"/>
      <c r="C504" s="27"/>
      <c r="D504" s="23"/>
      <c r="E504" s="23"/>
      <c r="K504" s="23"/>
      <c r="L504" s="23"/>
      <c r="M504" s="23"/>
    </row>
    <row r="505">
      <c r="B505" s="27"/>
      <c r="C505" s="27"/>
      <c r="D505" s="23"/>
      <c r="E505" s="23"/>
      <c r="K505" s="23"/>
      <c r="L505" s="23"/>
      <c r="M505" s="23"/>
    </row>
    <row r="506">
      <c r="B506" s="27"/>
      <c r="C506" s="27"/>
      <c r="D506" s="23"/>
      <c r="E506" s="23"/>
      <c r="K506" s="23"/>
      <c r="L506" s="23"/>
      <c r="M506" s="23"/>
    </row>
    <row r="507">
      <c r="B507" s="27"/>
      <c r="C507" s="27"/>
      <c r="D507" s="23"/>
      <c r="E507" s="23"/>
      <c r="K507" s="23"/>
      <c r="L507" s="23"/>
      <c r="M507" s="23"/>
    </row>
    <row r="508">
      <c r="B508" s="27"/>
      <c r="C508" s="27"/>
      <c r="D508" s="23"/>
      <c r="E508" s="23"/>
      <c r="K508" s="23"/>
      <c r="L508" s="23"/>
      <c r="M508" s="23"/>
    </row>
    <row r="509">
      <c r="B509" s="27"/>
      <c r="C509" s="27"/>
      <c r="D509" s="23"/>
      <c r="E509" s="23"/>
      <c r="K509" s="23"/>
      <c r="L509" s="23"/>
      <c r="M509" s="23"/>
    </row>
    <row r="510">
      <c r="B510" s="27"/>
      <c r="C510" s="27"/>
      <c r="D510" s="23"/>
      <c r="E510" s="23"/>
      <c r="K510" s="23"/>
      <c r="L510" s="23"/>
      <c r="M510" s="23"/>
    </row>
    <row r="511">
      <c r="B511" s="27"/>
      <c r="C511" s="27"/>
      <c r="D511" s="23"/>
      <c r="E511" s="23"/>
      <c r="K511" s="23"/>
      <c r="L511" s="23"/>
      <c r="M511" s="23"/>
    </row>
    <row r="512">
      <c r="B512" s="27"/>
      <c r="C512" s="27"/>
      <c r="D512" s="23"/>
      <c r="E512" s="23"/>
      <c r="K512" s="23"/>
      <c r="L512" s="23"/>
      <c r="M512" s="23"/>
    </row>
    <row r="513">
      <c r="B513" s="27"/>
      <c r="C513" s="27"/>
      <c r="D513" s="23"/>
      <c r="E513" s="23"/>
      <c r="K513" s="23"/>
      <c r="L513" s="23"/>
      <c r="M513" s="23"/>
    </row>
    <row r="514">
      <c r="B514" s="27"/>
      <c r="C514" s="27"/>
      <c r="D514" s="23"/>
      <c r="E514" s="23"/>
      <c r="K514" s="23"/>
      <c r="L514" s="23"/>
      <c r="M514" s="23"/>
    </row>
    <row r="515">
      <c r="B515" s="27"/>
      <c r="C515" s="27"/>
      <c r="D515" s="23"/>
      <c r="E515" s="23"/>
      <c r="K515" s="23"/>
      <c r="L515" s="23"/>
      <c r="M515" s="23"/>
    </row>
    <row r="516">
      <c r="B516" s="27"/>
      <c r="C516" s="27"/>
      <c r="D516" s="23"/>
      <c r="E516" s="23"/>
      <c r="K516" s="23"/>
      <c r="L516" s="23"/>
      <c r="M516" s="23"/>
    </row>
    <row r="517">
      <c r="B517" s="27"/>
      <c r="C517" s="27"/>
      <c r="D517" s="23"/>
      <c r="E517" s="23"/>
      <c r="K517" s="23"/>
      <c r="L517" s="23"/>
      <c r="M517" s="23"/>
    </row>
    <row r="518">
      <c r="B518" s="27"/>
      <c r="C518" s="27"/>
      <c r="D518" s="23"/>
      <c r="E518" s="23"/>
      <c r="K518" s="23"/>
      <c r="L518" s="23"/>
      <c r="M518" s="23"/>
    </row>
    <row r="519">
      <c r="B519" s="27"/>
      <c r="C519" s="27"/>
      <c r="D519" s="23"/>
      <c r="E519" s="23"/>
      <c r="K519" s="23"/>
      <c r="L519" s="23"/>
      <c r="M519" s="23"/>
    </row>
    <row r="520">
      <c r="B520" s="27"/>
      <c r="C520" s="27"/>
      <c r="D520" s="23"/>
      <c r="E520" s="23"/>
      <c r="K520" s="23"/>
      <c r="L520" s="23"/>
      <c r="M520" s="23"/>
    </row>
    <row r="521">
      <c r="B521" s="27"/>
      <c r="C521" s="27"/>
      <c r="D521" s="23"/>
      <c r="E521" s="23"/>
      <c r="K521" s="23"/>
      <c r="L521" s="23"/>
      <c r="M521" s="23"/>
    </row>
    <row r="522">
      <c r="B522" s="27"/>
      <c r="C522" s="27"/>
      <c r="D522" s="23"/>
      <c r="E522" s="23"/>
      <c r="K522" s="23"/>
      <c r="L522" s="23"/>
      <c r="M522" s="23"/>
    </row>
    <row r="523">
      <c r="B523" s="27"/>
      <c r="C523" s="27"/>
      <c r="D523" s="23"/>
      <c r="E523" s="23"/>
      <c r="K523" s="23"/>
      <c r="L523" s="23"/>
      <c r="M523" s="23"/>
    </row>
    <row r="524">
      <c r="B524" s="27"/>
      <c r="C524" s="27"/>
      <c r="D524" s="23"/>
      <c r="E524" s="23"/>
      <c r="K524" s="23"/>
      <c r="L524" s="23"/>
      <c r="M524" s="23"/>
    </row>
    <row r="525">
      <c r="B525" s="27"/>
      <c r="C525" s="27"/>
      <c r="D525" s="23"/>
      <c r="E525" s="23"/>
      <c r="K525" s="23"/>
      <c r="L525" s="23"/>
      <c r="M525" s="23"/>
    </row>
    <row r="526">
      <c r="B526" s="27"/>
      <c r="C526" s="27"/>
      <c r="D526" s="23"/>
      <c r="E526" s="23"/>
      <c r="K526" s="23"/>
      <c r="L526" s="23"/>
      <c r="M526" s="23"/>
    </row>
    <row r="527">
      <c r="B527" s="27"/>
      <c r="C527" s="27"/>
      <c r="D527" s="23"/>
      <c r="E527" s="23"/>
      <c r="K527" s="23"/>
      <c r="L527" s="23"/>
      <c r="M527" s="23"/>
    </row>
    <row r="528">
      <c r="B528" s="27"/>
      <c r="C528" s="27"/>
      <c r="D528" s="23"/>
      <c r="E528" s="23"/>
      <c r="K528" s="23"/>
      <c r="L528" s="23"/>
      <c r="M528" s="23"/>
    </row>
    <row r="529">
      <c r="B529" s="27"/>
      <c r="C529" s="27"/>
      <c r="D529" s="23"/>
      <c r="E529" s="23"/>
      <c r="K529" s="23"/>
      <c r="L529" s="23"/>
      <c r="M529" s="23"/>
    </row>
    <row r="530">
      <c r="B530" s="27"/>
      <c r="C530" s="27"/>
      <c r="D530" s="23"/>
      <c r="E530" s="23"/>
      <c r="K530" s="23"/>
      <c r="L530" s="23"/>
      <c r="M530" s="23"/>
    </row>
    <row r="531">
      <c r="B531" s="27"/>
      <c r="C531" s="27"/>
      <c r="D531" s="23"/>
      <c r="E531" s="23"/>
      <c r="K531" s="23"/>
      <c r="L531" s="23"/>
      <c r="M531" s="23"/>
    </row>
    <row r="532">
      <c r="B532" s="27"/>
      <c r="C532" s="27"/>
      <c r="D532" s="23"/>
      <c r="E532" s="23"/>
      <c r="K532" s="23"/>
      <c r="L532" s="23"/>
      <c r="M532" s="23"/>
    </row>
    <row r="533">
      <c r="B533" s="27"/>
      <c r="C533" s="27"/>
      <c r="D533" s="23"/>
      <c r="E533" s="23"/>
      <c r="K533" s="23"/>
      <c r="L533" s="23"/>
      <c r="M533" s="23"/>
    </row>
    <row r="534">
      <c r="B534" s="27"/>
      <c r="C534" s="27"/>
      <c r="D534" s="23"/>
      <c r="E534" s="23"/>
      <c r="K534" s="23"/>
      <c r="L534" s="23"/>
      <c r="M534" s="23"/>
    </row>
    <row r="535">
      <c r="B535" s="27"/>
      <c r="C535" s="27"/>
      <c r="D535" s="23"/>
      <c r="E535" s="23"/>
      <c r="K535" s="23"/>
      <c r="L535" s="23"/>
      <c r="M535" s="23"/>
    </row>
    <row r="536">
      <c r="B536" s="27"/>
      <c r="C536" s="27"/>
      <c r="D536" s="23"/>
      <c r="E536" s="23"/>
      <c r="K536" s="23"/>
      <c r="L536" s="23"/>
      <c r="M536" s="23"/>
    </row>
    <row r="537">
      <c r="B537" s="27"/>
      <c r="C537" s="27"/>
      <c r="D537" s="23"/>
      <c r="E537" s="23"/>
      <c r="K537" s="23"/>
      <c r="L537" s="23"/>
      <c r="M537" s="23"/>
    </row>
    <row r="538">
      <c r="B538" s="27"/>
      <c r="C538" s="27"/>
      <c r="D538" s="23"/>
      <c r="E538" s="23"/>
      <c r="K538" s="23"/>
      <c r="L538" s="23"/>
      <c r="M538" s="23"/>
    </row>
    <row r="539">
      <c r="B539" s="27"/>
      <c r="C539" s="27"/>
      <c r="D539" s="23"/>
      <c r="E539" s="23"/>
      <c r="K539" s="23"/>
      <c r="L539" s="23"/>
      <c r="M539" s="23"/>
    </row>
    <row r="540">
      <c r="B540" s="27"/>
      <c r="C540" s="27"/>
      <c r="D540" s="23"/>
      <c r="E540" s="23"/>
      <c r="K540" s="23"/>
      <c r="L540" s="23"/>
      <c r="M540" s="23"/>
    </row>
    <row r="541">
      <c r="B541" s="27"/>
      <c r="C541" s="27"/>
      <c r="D541" s="23"/>
      <c r="E541" s="23"/>
      <c r="K541" s="23"/>
      <c r="L541" s="23"/>
      <c r="M541" s="23"/>
    </row>
    <row r="542">
      <c r="B542" s="27"/>
      <c r="C542" s="27"/>
      <c r="D542" s="23"/>
      <c r="E542" s="23"/>
      <c r="K542" s="23"/>
      <c r="L542" s="23"/>
      <c r="M542" s="23"/>
    </row>
    <row r="543">
      <c r="B543" s="27"/>
      <c r="C543" s="27"/>
      <c r="D543" s="23"/>
      <c r="E543" s="23"/>
      <c r="K543" s="23"/>
      <c r="L543" s="23"/>
      <c r="M543" s="23"/>
    </row>
    <row r="544">
      <c r="B544" s="27"/>
      <c r="C544" s="27"/>
      <c r="D544" s="23"/>
      <c r="E544" s="23"/>
      <c r="K544" s="23"/>
      <c r="L544" s="23"/>
      <c r="M544" s="23"/>
    </row>
    <row r="545">
      <c r="B545" s="27"/>
      <c r="C545" s="27"/>
      <c r="D545" s="23"/>
      <c r="E545" s="23"/>
      <c r="K545" s="23"/>
      <c r="L545" s="23"/>
      <c r="M545" s="23"/>
    </row>
    <row r="546">
      <c r="B546" s="27"/>
      <c r="C546" s="27"/>
      <c r="D546" s="23"/>
      <c r="E546" s="23"/>
      <c r="K546" s="23"/>
      <c r="L546" s="23"/>
      <c r="M546" s="23"/>
    </row>
    <row r="547">
      <c r="B547" s="27"/>
      <c r="C547" s="27"/>
      <c r="D547" s="23"/>
      <c r="E547" s="23"/>
      <c r="K547" s="23"/>
      <c r="L547" s="23"/>
      <c r="M547" s="23"/>
    </row>
    <row r="548">
      <c r="B548" s="27"/>
      <c r="C548" s="27"/>
      <c r="D548" s="23"/>
      <c r="E548" s="23"/>
      <c r="K548" s="23"/>
      <c r="L548" s="23"/>
      <c r="M548" s="23"/>
    </row>
    <row r="549">
      <c r="B549" s="27"/>
      <c r="C549" s="27"/>
      <c r="D549" s="23"/>
      <c r="E549" s="23"/>
      <c r="K549" s="23"/>
      <c r="L549" s="23"/>
      <c r="M549" s="23"/>
    </row>
    <row r="550">
      <c r="B550" s="27"/>
      <c r="C550" s="27"/>
      <c r="D550" s="23"/>
      <c r="E550" s="23"/>
      <c r="K550" s="23"/>
      <c r="L550" s="23"/>
      <c r="M550" s="23"/>
    </row>
    <row r="551">
      <c r="B551" s="27"/>
      <c r="C551" s="27"/>
      <c r="D551" s="23"/>
      <c r="E551" s="23"/>
      <c r="K551" s="23"/>
      <c r="L551" s="23"/>
      <c r="M551" s="23"/>
    </row>
    <row r="552">
      <c r="B552" s="27"/>
      <c r="C552" s="27"/>
      <c r="D552" s="23"/>
      <c r="E552" s="23"/>
      <c r="K552" s="23"/>
      <c r="L552" s="23"/>
      <c r="M552" s="23"/>
    </row>
    <row r="553">
      <c r="B553" s="27"/>
      <c r="C553" s="27"/>
      <c r="D553" s="23"/>
      <c r="E553" s="23"/>
      <c r="K553" s="23"/>
      <c r="L553" s="23"/>
      <c r="M553" s="23"/>
    </row>
    <row r="554">
      <c r="B554" s="27"/>
      <c r="C554" s="27"/>
      <c r="D554" s="23"/>
      <c r="E554" s="23"/>
      <c r="K554" s="23"/>
      <c r="L554" s="23"/>
      <c r="M554" s="23"/>
    </row>
    <row r="555">
      <c r="B555" s="27"/>
      <c r="C555" s="27"/>
      <c r="D555" s="23"/>
      <c r="E555" s="23"/>
      <c r="K555" s="23"/>
      <c r="L555" s="23"/>
      <c r="M555" s="23"/>
    </row>
    <row r="556">
      <c r="B556" s="27"/>
      <c r="C556" s="27"/>
      <c r="D556" s="23"/>
      <c r="E556" s="23"/>
      <c r="K556" s="23"/>
      <c r="L556" s="23"/>
      <c r="M556" s="23"/>
    </row>
    <row r="557">
      <c r="B557" s="27"/>
      <c r="C557" s="27"/>
      <c r="D557" s="23"/>
      <c r="E557" s="23"/>
      <c r="K557" s="23"/>
      <c r="L557" s="23"/>
      <c r="M557" s="23"/>
    </row>
    <row r="558">
      <c r="B558" s="27"/>
      <c r="C558" s="27"/>
      <c r="D558" s="23"/>
      <c r="E558" s="23"/>
      <c r="K558" s="23"/>
      <c r="L558" s="23"/>
      <c r="M558" s="23"/>
    </row>
    <row r="559">
      <c r="B559" s="27"/>
      <c r="C559" s="27"/>
      <c r="D559" s="23"/>
      <c r="E559" s="23"/>
      <c r="K559" s="23"/>
      <c r="L559" s="23"/>
      <c r="M559" s="23"/>
    </row>
    <row r="560">
      <c r="B560" s="27"/>
      <c r="C560" s="27"/>
      <c r="D560" s="23"/>
      <c r="E560" s="23"/>
      <c r="K560" s="23"/>
      <c r="L560" s="23"/>
      <c r="M560" s="23"/>
    </row>
    <row r="561">
      <c r="B561" s="27"/>
      <c r="C561" s="27"/>
      <c r="D561" s="23"/>
      <c r="E561" s="23"/>
      <c r="K561" s="23"/>
      <c r="L561" s="23"/>
      <c r="M561" s="23"/>
    </row>
    <row r="562">
      <c r="B562" s="27"/>
      <c r="C562" s="27"/>
      <c r="D562" s="23"/>
      <c r="E562" s="23"/>
      <c r="K562" s="23"/>
      <c r="L562" s="23"/>
      <c r="M562" s="23"/>
    </row>
    <row r="563">
      <c r="B563" s="27"/>
      <c r="C563" s="27"/>
      <c r="D563" s="23"/>
      <c r="E563" s="23"/>
      <c r="K563" s="23"/>
      <c r="L563" s="23"/>
      <c r="M563" s="23"/>
    </row>
    <row r="564">
      <c r="B564" s="27"/>
      <c r="C564" s="27"/>
      <c r="D564" s="23"/>
      <c r="E564" s="23"/>
      <c r="K564" s="23"/>
      <c r="L564" s="23"/>
      <c r="M564" s="23"/>
    </row>
    <row r="565">
      <c r="B565" s="27"/>
      <c r="C565" s="27"/>
      <c r="D565" s="23"/>
      <c r="E565" s="23"/>
      <c r="K565" s="23"/>
      <c r="L565" s="23"/>
      <c r="M565" s="23"/>
    </row>
    <row r="566">
      <c r="B566" s="27"/>
      <c r="C566" s="27"/>
      <c r="D566" s="23"/>
      <c r="E566" s="23"/>
      <c r="K566" s="23"/>
      <c r="L566" s="23"/>
      <c r="M566" s="23"/>
    </row>
    <row r="567">
      <c r="B567" s="27"/>
      <c r="C567" s="27"/>
      <c r="D567" s="23"/>
      <c r="E567" s="23"/>
      <c r="K567" s="23"/>
      <c r="L567" s="23"/>
      <c r="M567" s="23"/>
    </row>
    <row r="568">
      <c r="B568" s="27"/>
      <c r="C568" s="27"/>
      <c r="D568" s="23"/>
      <c r="E568" s="23"/>
      <c r="K568" s="23"/>
      <c r="L568" s="23"/>
      <c r="M568" s="23"/>
    </row>
    <row r="569">
      <c r="B569" s="27"/>
      <c r="C569" s="27"/>
      <c r="D569" s="23"/>
      <c r="E569" s="23"/>
      <c r="K569" s="23"/>
      <c r="L569" s="23"/>
      <c r="M569" s="23"/>
    </row>
    <row r="570">
      <c r="B570" s="27"/>
      <c r="C570" s="27"/>
      <c r="D570" s="23"/>
      <c r="E570" s="23"/>
      <c r="K570" s="23"/>
      <c r="L570" s="23"/>
      <c r="M570" s="23"/>
    </row>
    <row r="571">
      <c r="B571" s="27"/>
      <c r="C571" s="27"/>
      <c r="D571" s="23"/>
      <c r="E571" s="23"/>
      <c r="K571" s="23"/>
      <c r="L571" s="23"/>
      <c r="M571" s="23"/>
    </row>
    <row r="572">
      <c r="B572" s="27"/>
      <c r="C572" s="27"/>
      <c r="D572" s="23"/>
      <c r="E572" s="23"/>
      <c r="K572" s="23"/>
      <c r="L572" s="23"/>
      <c r="M572" s="23"/>
    </row>
    <row r="573">
      <c r="B573" s="27"/>
      <c r="C573" s="27"/>
      <c r="D573" s="23"/>
      <c r="E573" s="23"/>
      <c r="K573" s="23"/>
      <c r="L573" s="23"/>
      <c r="M573" s="23"/>
    </row>
    <row r="574">
      <c r="B574" s="27"/>
      <c r="C574" s="27"/>
      <c r="D574" s="23"/>
      <c r="E574" s="23"/>
      <c r="K574" s="23"/>
      <c r="L574" s="23"/>
      <c r="M574" s="23"/>
    </row>
    <row r="575">
      <c r="B575" s="27"/>
      <c r="C575" s="27"/>
      <c r="D575" s="23"/>
      <c r="E575" s="23"/>
      <c r="K575" s="23"/>
      <c r="L575" s="23"/>
      <c r="M575" s="23"/>
    </row>
    <row r="576">
      <c r="B576" s="27"/>
      <c r="C576" s="27"/>
      <c r="D576" s="23"/>
      <c r="E576" s="23"/>
      <c r="K576" s="23"/>
      <c r="L576" s="23"/>
      <c r="M576" s="23"/>
    </row>
    <row r="577">
      <c r="B577" s="27"/>
      <c r="C577" s="27"/>
      <c r="D577" s="23"/>
      <c r="E577" s="23"/>
      <c r="K577" s="23"/>
      <c r="L577" s="23"/>
      <c r="M577" s="23"/>
    </row>
    <row r="578">
      <c r="B578" s="27"/>
      <c r="C578" s="27"/>
      <c r="D578" s="23"/>
      <c r="E578" s="23"/>
      <c r="K578" s="23"/>
      <c r="L578" s="23"/>
      <c r="M578" s="23"/>
    </row>
    <row r="579">
      <c r="B579" s="27"/>
      <c r="C579" s="27"/>
      <c r="D579" s="23"/>
      <c r="E579" s="23"/>
      <c r="K579" s="23"/>
      <c r="L579" s="23"/>
      <c r="M579" s="23"/>
    </row>
    <row r="580">
      <c r="B580" s="27"/>
      <c r="C580" s="27"/>
      <c r="D580" s="23"/>
      <c r="E580" s="23"/>
      <c r="K580" s="23"/>
      <c r="L580" s="23"/>
      <c r="M580" s="23"/>
    </row>
    <row r="581">
      <c r="B581" s="27"/>
      <c r="C581" s="27"/>
      <c r="D581" s="23"/>
      <c r="E581" s="23"/>
      <c r="K581" s="23"/>
      <c r="L581" s="23"/>
      <c r="M581" s="23"/>
    </row>
    <row r="582">
      <c r="B582" s="27"/>
      <c r="C582" s="27"/>
      <c r="D582" s="23"/>
      <c r="E582" s="23"/>
      <c r="K582" s="23"/>
      <c r="L582" s="23"/>
      <c r="M582" s="23"/>
    </row>
    <row r="583">
      <c r="B583" s="27"/>
      <c r="C583" s="27"/>
      <c r="D583" s="23"/>
      <c r="E583" s="23"/>
      <c r="K583" s="23"/>
      <c r="L583" s="23"/>
      <c r="M583" s="23"/>
    </row>
    <row r="584">
      <c r="B584" s="27"/>
      <c r="C584" s="27"/>
      <c r="D584" s="23"/>
      <c r="E584" s="23"/>
      <c r="K584" s="23"/>
      <c r="L584" s="23"/>
      <c r="M584" s="23"/>
    </row>
    <row r="585">
      <c r="B585" s="27"/>
      <c r="C585" s="27"/>
      <c r="D585" s="23"/>
      <c r="E585" s="23"/>
      <c r="K585" s="23"/>
      <c r="L585" s="23"/>
      <c r="M585" s="23"/>
    </row>
    <row r="586">
      <c r="B586" s="27"/>
      <c r="C586" s="27"/>
      <c r="D586" s="23"/>
      <c r="E586" s="23"/>
      <c r="K586" s="23"/>
      <c r="L586" s="23"/>
      <c r="M586" s="23"/>
    </row>
    <row r="587">
      <c r="B587" s="27"/>
      <c r="C587" s="27"/>
      <c r="D587" s="23"/>
      <c r="E587" s="23"/>
      <c r="K587" s="23"/>
      <c r="L587" s="23"/>
      <c r="M587" s="23"/>
    </row>
    <row r="588">
      <c r="B588" s="27"/>
      <c r="C588" s="27"/>
      <c r="D588" s="23"/>
      <c r="E588" s="23"/>
      <c r="K588" s="23"/>
      <c r="L588" s="23"/>
      <c r="M588" s="23"/>
    </row>
    <row r="589">
      <c r="B589" s="27"/>
      <c r="C589" s="27"/>
      <c r="D589" s="23"/>
      <c r="E589" s="23"/>
      <c r="K589" s="23"/>
      <c r="L589" s="23"/>
      <c r="M589" s="23"/>
    </row>
    <row r="590">
      <c r="B590" s="27"/>
      <c r="C590" s="27"/>
      <c r="D590" s="23"/>
      <c r="E590" s="23"/>
      <c r="K590" s="23"/>
      <c r="L590" s="23"/>
      <c r="M590" s="23"/>
    </row>
    <row r="591">
      <c r="B591" s="27"/>
      <c r="C591" s="27"/>
      <c r="D591" s="23"/>
      <c r="E591" s="23"/>
      <c r="K591" s="23"/>
      <c r="L591" s="23"/>
      <c r="M591" s="23"/>
    </row>
    <row r="592">
      <c r="B592" s="27"/>
      <c r="C592" s="27"/>
      <c r="D592" s="23"/>
      <c r="E592" s="23"/>
      <c r="K592" s="23"/>
      <c r="L592" s="23"/>
      <c r="M592" s="23"/>
    </row>
    <row r="593">
      <c r="B593" s="27"/>
      <c r="C593" s="27"/>
      <c r="D593" s="23"/>
      <c r="E593" s="23"/>
      <c r="K593" s="23"/>
      <c r="L593" s="23"/>
      <c r="M593" s="23"/>
    </row>
    <row r="594">
      <c r="B594" s="27"/>
      <c r="C594" s="27"/>
      <c r="D594" s="23"/>
      <c r="E594" s="23"/>
      <c r="K594" s="23"/>
      <c r="L594" s="23"/>
      <c r="M594" s="23"/>
    </row>
    <row r="595">
      <c r="B595" s="27"/>
      <c r="C595" s="27"/>
      <c r="D595" s="23"/>
      <c r="E595" s="23"/>
      <c r="K595" s="23"/>
      <c r="L595" s="23"/>
      <c r="M595" s="23"/>
    </row>
    <row r="596">
      <c r="B596" s="27"/>
      <c r="C596" s="27"/>
      <c r="D596" s="23"/>
      <c r="E596" s="23"/>
      <c r="K596" s="23"/>
      <c r="L596" s="23"/>
      <c r="M596" s="23"/>
    </row>
    <row r="597">
      <c r="B597" s="27"/>
      <c r="C597" s="27"/>
      <c r="D597" s="23"/>
      <c r="E597" s="23"/>
      <c r="K597" s="23"/>
      <c r="L597" s="23"/>
      <c r="M597" s="23"/>
    </row>
    <row r="598">
      <c r="B598" s="27"/>
      <c r="C598" s="27"/>
      <c r="D598" s="23"/>
      <c r="E598" s="23"/>
      <c r="K598" s="23"/>
      <c r="L598" s="23"/>
      <c r="M598" s="23"/>
    </row>
    <row r="599">
      <c r="B599" s="27"/>
      <c r="C599" s="27"/>
      <c r="D599" s="23"/>
      <c r="E599" s="23"/>
      <c r="K599" s="23"/>
      <c r="L599" s="23"/>
      <c r="M599" s="23"/>
    </row>
    <row r="600">
      <c r="B600" s="27"/>
      <c r="C600" s="27"/>
      <c r="D600" s="23"/>
      <c r="E600" s="23"/>
      <c r="K600" s="23"/>
      <c r="L600" s="23"/>
      <c r="M600" s="23"/>
    </row>
    <row r="601">
      <c r="B601" s="27"/>
      <c r="C601" s="27"/>
      <c r="D601" s="23"/>
      <c r="E601" s="23"/>
      <c r="K601" s="23"/>
      <c r="L601" s="23"/>
      <c r="M601" s="23"/>
    </row>
    <row r="602">
      <c r="B602" s="27"/>
      <c r="C602" s="27"/>
      <c r="D602" s="23"/>
      <c r="E602" s="23"/>
      <c r="K602" s="23"/>
      <c r="L602" s="23"/>
      <c r="M602" s="23"/>
    </row>
    <row r="603">
      <c r="B603" s="27"/>
      <c r="C603" s="27"/>
      <c r="D603" s="23"/>
      <c r="E603" s="23"/>
      <c r="K603" s="23"/>
      <c r="L603" s="23"/>
      <c r="M603" s="23"/>
    </row>
    <row r="604">
      <c r="B604" s="27"/>
      <c r="C604" s="27"/>
      <c r="D604" s="23"/>
      <c r="E604" s="23"/>
      <c r="K604" s="23"/>
      <c r="L604" s="23"/>
      <c r="M604" s="23"/>
    </row>
    <row r="605">
      <c r="B605" s="27"/>
      <c r="C605" s="27"/>
      <c r="D605" s="23"/>
      <c r="E605" s="23"/>
      <c r="K605" s="23"/>
      <c r="L605" s="23"/>
      <c r="M605" s="23"/>
    </row>
    <row r="606">
      <c r="B606" s="27"/>
      <c r="C606" s="27"/>
      <c r="D606" s="23"/>
      <c r="E606" s="23"/>
      <c r="K606" s="23"/>
      <c r="L606" s="23"/>
      <c r="M606" s="23"/>
    </row>
    <row r="607">
      <c r="B607" s="27"/>
      <c r="C607" s="27"/>
      <c r="D607" s="23"/>
      <c r="E607" s="23"/>
      <c r="K607" s="23"/>
      <c r="L607" s="23"/>
      <c r="M607" s="23"/>
    </row>
    <row r="608">
      <c r="B608" s="27"/>
      <c r="C608" s="27"/>
      <c r="D608" s="23"/>
      <c r="E608" s="23"/>
      <c r="K608" s="23"/>
      <c r="L608" s="23"/>
      <c r="M608" s="23"/>
    </row>
    <row r="609">
      <c r="B609" s="27"/>
      <c r="C609" s="27"/>
      <c r="D609" s="23"/>
      <c r="E609" s="23"/>
      <c r="K609" s="23"/>
      <c r="L609" s="23"/>
      <c r="M609" s="23"/>
    </row>
    <row r="610">
      <c r="B610" s="27"/>
      <c r="C610" s="27"/>
      <c r="D610" s="23"/>
      <c r="E610" s="23"/>
      <c r="K610" s="23"/>
      <c r="L610" s="23"/>
      <c r="M610" s="23"/>
    </row>
    <row r="611">
      <c r="B611" s="27"/>
      <c r="C611" s="27"/>
      <c r="D611" s="23"/>
      <c r="E611" s="23"/>
      <c r="K611" s="23"/>
      <c r="L611" s="23"/>
      <c r="M611" s="23"/>
    </row>
    <row r="612">
      <c r="B612" s="27"/>
      <c r="C612" s="27"/>
      <c r="D612" s="23"/>
      <c r="E612" s="23"/>
      <c r="K612" s="23"/>
      <c r="L612" s="23"/>
      <c r="M612" s="23"/>
    </row>
    <row r="613">
      <c r="B613" s="27"/>
      <c r="C613" s="27"/>
      <c r="D613" s="23"/>
      <c r="E613" s="23"/>
      <c r="K613" s="23"/>
      <c r="L613" s="23"/>
      <c r="M613" s="23"/>
    </row>
    <row r="614">
      <c r="B614" s="27"/>
      <c r="C614" s="27"/>
      <c r="D614" s="23"/>
      <c r="E614" s="23"/>
      <c r="K614" s="23"/>
      <c r="L614" s="23"/>
      <c r="M614" s="23"/>
    </row>
    <row r="615">
      <c r="B615" s="27"/>
      <c r="C615" s="27"/>
      <c r="D615" s="23"/>
      <c r="E615" s="23"/>
      <c r="K615" s="23"/>
      <c r="L615" s="23"/>
      <c r="M615" s="23"/>
    </row>
    <row r="616">
      <c r="B616" s="27"/>
      <c r="C616" s="27"/>
      <c r="D616" s="23"/>
      <c r="E616" s="23"/>
      <c r="K616" s="23"/>
      <c r="L616" s="23"/>
      <c r="M616" s="23"/>
    </row>
    <row r="617">
      <c r="B617" s="27"/>
      <c r="C617" s="27"/>
      <c r="D617" s="23"/>
      <c r="E617" s="23"/>
      <c r="K617" s="23"/>
      <c r="L617" s="23"/>
      <c r="M617" s="23"/>
    </row>
    <row r="618">
      <c r="B618" s="27"/>
      <c r="C618" s="27"/>
      <c r="D618" s="23"/>
      <c r="E618" s="23"/>
      <c r="K618" s="23"/>
      <c r="L618" s="23"/>
      <c r="M618" s="23"/>
    </row>
    <row r="619">
      <c r="B619" s="27"/>
      <c r="C619" s="27"/>
      <c r="D619" s="23"/>
      <c r="E619" s="23"/>
      <c r="K619" s="23"/>
      <c r="L619" s="23"/>
      <c r="M619" s="23"/>
    </row>
    <row r="620">
      <c r="B620" s="27"/>
      <c r="C620" s="27"/>
      <c r="D620" s="23"/>
      <c r="E620" s="23"/>
      <c r="K620" s="23"/>
      <c r="L620" s="23"/>
      <c r="M620" s="23"/>
    </row>
    <row r="621">
      <c r="B621" s="27"/>
      <c r="C621" s="27"/>
      <c r="D621" s="23"/>
      <c r="E621" s="23"/>
      <c r="K621" s="23"/>
      <c r="L621" s="23"/>
      <c r="M621" s="23"/>
    </row>
    <row r="622">
      <c r="B622" s="27"/>
      <c r="C622" s="27"/>
      <c r="D622" s="23"/>
      <c r="E622" s="23"/>
      <c r="K622" s="23"/>
      <c r="L622" s="23"/>
      <c r="M622" s="23"/>
    </row>
    <row r="623">
      <c r="B623" s="27"/>
      <c r="C623" s="27"/>
      <c r="D623" s="23"/>
      <c r="E623" s="23"/>
      <c r="K623" s="23"/>
      <c r="L623" s="23"/>
      <c r="M623" s="23"/>
    </row>
    <row r="624">
      <c r="B624" s="27"/>
      <c r="C624" s="27"/>
      <c r="D624" s="23"/>
      <c r="E624" s="23"/>
      <c r="K624" s="23"/>
      <c r="L624" s="23"/>
      <c r="M624" s="23"/>
    </row>
    <row r="625">
      <c r="B625" s="27"/>
      <c r="C625" s="27"/>
      <c r="D625" s="23"/>
      <c r="E625" s="23"/>
      <c r="K625" s="23"/>
      <c r="L625" s="23"/>
      <c r="M625" s="23"/>
    </row>
    <row r="626">
      <c r="B626" s="27"/>
      <c r="C626" s="27"/>
      <c r="D626" s="23"/>
      <c r="E626" s="23"/>
      <c r="K626" s="23"/>
      <c r="L626" s="23"/>
      <c r="M626" s="23"/>
    </row>
    <row r="627">
      <c r="B627" s="27"/>
      <c r="C627" s="27"/>
      <c r="D627" s="23"/>
      <c r="E627" s="23"/>
      <c r="K627" s="23"/>
      <c r="L627" s="23"/>
      <c r="M627" s="23"/>
    </row>
    <row r="628">
      <c r="B628" s="27"/>
      <c r="C628" s="27"/>
      <c r="D628" s="23"/>
      <c r="E628" s="23"/>
      <c r="K628" s="23"/>
      <c r="L628" s="23"/>
      <c r="M628" s="23"/>
    </row>
    <row r="629">
      <c r="B629" s="27"/>
      <c r="C629" s="27"/>
      <c r="D629" s="23"/>
      <c r="E629" s="23"/>
      <c r="K629" s="23"/>
      <c r="L629" s="23"/>
      <c r="M629" s="23"/>
    </row>
    <row r="630">
      <c r="B630" s="27"/>
      <c r="C630" s="27"/>
      <c r="D630" s="23"/>
      <c r="E630" s="23"/>
      <c r="K630" s="23"/>
      <c r="L630" s="23"/>
      <c r="M630" s="23"/>
    </row>
    <row r="631">
      <c r="B631" s="27"/>
      <c r="C631" s="27"/>
      <c r="D631" s="23"/>
      <c r="E631" s="23"/>
      <c r="K631" s="23"/>
      <c r="L631" s="23"/>
      <c r="M631" s="23"/>
    </row>
    <row r="632">
      <c r="B632" s="27"/>
      <c r="C632" s="27"/>
      <c r="D632" s="23"/>
      <c r="E632" s="23"/>
      <c r="K632" s="23"/>
      <c r="L632" s="23"/>
      <c r="M632" s="23"/>
    </row>
    <row r="633">
      <c r="B633" s="27"/>
      <c r="C633" s="27"/>
      <c r="D633" s="23"/>
      <c r="E633" s="23"/>
      <c r="K633" s="23"/>
      <c r="L633" s="23"/>
      <c r="M633" s="23"/>
    </row>
    <row r="634">
      <c r="B634" s="27"/>
      <c r="C634" s="27"/>
      <c r="D634" s="23"/>
      <c r="E634" s="23"/>
      <c r="K634" s="23"/>
      <c r="L634" s="23"/>
      <c r="M634" s="23"/>
    </row>
    <row r="635">
      <c r="B635" s="27"/>
      <c r="C635" s="27"/>
      <c r="D635" s="23"/>
      <c r="E635" s="23"/>
      <c r="K635" s="23"/>
      <c r="L635" s="23"/>
      <c r="M635" s="23"/>
    </row>
    <row r="636">
      <c r="B636" s="27"/>
      <c r="C636" s="27"/>
      <c r="D636" s="23"/>
      <c r="E636" s="23"/>
      <c r="K636" s="23"/>
      <c r="L636" s="23"/>
      <c r="M636" s="23"/>
    </row>
    <row r="637">
      <c r="B637" s="27"/>
      <c r="C637" s="27"/>
      <c r="D637" s="23"/>
      <c r="E637" s="23"/>
      <c r="K637" s="23"/>
      <c r="L637" s="23"/>
      <c r="M637" s="23"/>
    </row>
    <row r="638">
      <c r="B638" s="27"/>
      <c r="C638" s="27"/>
      <c r="D638" s="23"/>
      <c r="E638" s="23"/>
      <c r="K638" s="23"/>
      <c r="L638" s="23"/>
      <c r="M638" s="23"/>
    </row>
    <row r="639">
      <c r="B639" s="27"/>
      <c r="C639" s="27"/>
      <c r="D639" s="23"/>
      <c r="E639" s="23"/>
      <c r="K639" s="23"/>
      <c r="L639" s="23"/>
      <c r="M639" s="23"/>
    </row>
    <row r="640">
      <c r="B640" s="27"/>
      <c r="C640" s="27"/>
      <c r="D640" s="23"/>
      <c r="E640" s="23"/>
      <c r="K640" s="23"/>
      <c r="L640" s="23"/>
      <c r="M640" s="23"/>
    </row>
    <row r="641">
      <c r="B641" s="27"/>
      <c r="C641" s="27"/>
      <c r="D641" s="23"/>
      <c r="E641" s="23"/>
      <c r="K641" s="23"/>
      <c r="L641" s="23"/>
      <c r="M641" s="23"/>
    </row>
    <row r="642">
      <c r="B642" s="27"/>
      <c r="C642" s="27"/>
      <c r="D642" s="23"/>
      <c r="E642" s="23"/>
      <c r="K642" s="23"/>
      <c r="L642" s="23"/>
      <c r="M642" s="23"/>
    </row>
    <row r="643">
      <c r="B643" s="27"/>
      <c r="C643" s="27"/>
      <c r="D643" s="23"/>
      <c r="E643" s="23"/>
      <c r="K643" s="23"/>
      <c r="L643" s="23"/>
      <c r="M643" s="23"/>
    </row>
    <row r="644">
      <c r="B644" s="27"/>
      <c r="C644" s="27"/>
      <c r="D644" s="23"/>
      <c r="E644" s="23"/>
      <c r="K644" s="23"/>
      <c r="L644" s="23"/>
      <c r="M644" s="23"/>
    </row>
    <row r="645">
      <c r="B645" s="27"/>
      <c r="C645" s="27"/>
      <c r="D645" s="23"/>
      <c r="E645" s="23"/>
      <c r="K645" s="23"/>
      <c r="L645" s="23"/>
      <c r="M645" s="23"/>
    </row>
    <row r="646">
      <c r="B646" s="27"/>
      <c r="C646" s="27"/>
      <c r="D646" s="23"/>
      <c r="E646" s="23"/>
      <c r="K646" s="23"/>
      <c r="L646" s="23"/>
      <c r="M646" s="23"/>
    </row>
    <row r="647">
      <c r="B647" s="27"/>
      <c r="C647" s="27"/>
      <c r="D647" s="23"/>
      <c r="E647" s="23"/>
      <c r="K647" s="23"/>
      <c r="L647" s="23"/>
      <c r="M647" s="23"/>
    </row>
    <row r="648">
      <c r="B648" s="27"/>
      <c r="C648" s="27"/>
      <c r="D648" s="23"/>
      <c r="E648" s="23"/>
      <c r="K648" s="23"/>
      <c r="L648" s="23"/>
      <c r="M648" s="23"/>
    </row>
    <row r="649">
      <c r="B649" s="27"/>
      <c r="C649" s="27"/>
      <c r="D649" s="23"/>
      <c r="E649" s="23"/>
      <c r="K649" s="23"/>
      <c r="L649" s="23"/>
      <c r="M649" s="23"/>
    </row>
    <row r="650">
      <c r="B650" s="27"/>
      <c r="C650" s="27"/>
      <c r="D650" s="23"/>
      <c r="E650" s="23"/>
      <c r="K650" s="23"/>
      <c r="L650" s="23"/>
      <c r="M650" s="23"/>
    </row>
    <row r="651">
      <c r="B651" s="27"/>
      <c r="C651" s="27"/>
      <c r="D651" s="23"/>
      <c r="E651" s="23"/>
      <c r="K651" s="23"/>
      <c r="L651" s="23"/>
      <c r="M651" s="23"/>
    </row>
    <row r="652">
      <c r="B652" s="27"/>
      <c r="C652" s="27"/>
      <c r="D652" s="23"/>
      <c r="E652" s="23"/>
      <c r="K652" s="23"/>
      <c r="L652" s="23"/>
      <c r="M652" s="23"/>
    </row>
    <row r="653">
      <c r="B653" s="27"/>
      <c r="C653" s="27"/>
      <c r="D653" s="23"/>
      <c r="E653" s="23"/>
      <c r="K653" s="23"/>
      <c r="L653" s="23"/>
      <c r="M653" s="23"/>
    </row>
    <row r="654">
      <c r="B654" s="27"/>
      <c r="C654" s="27"/>
      <c r="D654" s="23"/>
      <c r="E654" s="23"/>
      <c r="K654" s="23"/>
      <c r="L654" s="23"/>
      <c r="M654" s="23"/>
    </row>
    <row r="655">
      <c r="B655" s="27"/>
      <c r="C655" s="27"/>
      <c r="D655" s="23"/>
      <c r="E655" s="23"/>
      <c r="K655" s="23"/>
      <c r="L655" s="23"/>
      <c r="M655" s="23"/>
    </row>
    <row r="656">
      <c r="B656" s="27"/>
      <c r="C656" s="27"/>
      <c r="D656" s="23"/>
      <c r="E656" s="23"/>
      <c r="K656" s="23"/>
      <c r="L656" s="23"/>
      <c r="M656" s="23"/>
    </row>
    <row r="657">
      <c r="B657" s="27"/>
      <c r="C657" s="27"/>
      <c r="D657" s="23"/>
      <c r="E657" s="23"/>
      <c r="K657" s="23"/>
      <c r="L657" s="23"/>
      <c r="M657" s="23"/>
    </row>
    <row r="658">
      <c r="B658" s="27"/>
      <c r="C658" s="27"/>
      <c r="D658" s="23"/>
      <c r="E658" s="23"/>
      <c r="K658" s="23"/>
      <c r="L658" s="23"/>
      <c r="M658" s="23"/>
    </row>
    <row r="659">
      <c r="B659" s="27"/>
      <c r="C659" s="27"/>
      <c r="D659" s="23"/>
      <c r="E659" s="23"/>
      <c r="K659" s="23"/>
      <c r="L659" s="23"/>
      <c r="M659" s="23"/>
    </row>
    <row r="660">
      <c r="B660" s="27"/>
      <c r="C660" s="27"/>
      <c r="D660" s="23"/>
      <c r="E660" s="23"/>
      <c r="K660" s="23"/>
      <c r="L660" s="23"/>
      <c r="M660" s="23"/>
    </row>
    <row r="661">
      <c r="B661" s="27"/>
      <c r="C661" s="27"/>
      <c r="D661" s="23"/>
      <c r="E661" s="23"/>
      <c r="K661" s="23"/>
      <c r="L661" s="23"/>
      <c r="M661" s="23"/>
    </row>
    <row r="662">
      <c r="B662" s="27"/>
      <c r="C662" s="27"/>
      <c r="D662" s="23"/>
      <c r="E662" s="23"/>
      <c r="K662" s="23"/>
      <c r="L662" s="23"/>
      <c r="M662" s="23"/>
    </row>
    <row r="663">
      <c r="B663" s="27"/>
      <c r="C663" s="27"/>
      <c r="D663" s="23"/>
      <c r="E663" s="23"/>
      <c r="K663" s="23"/>
      <c r="L663" s="23"/>
      <c r="M663" s="23"/>
    </row>
    <row r="664">
      <c r="B664" s="27"/>
      <c r="C664" s="27"/>
      <c r="D664" s="23"/>
      <c r="E664" s="23"/>
      <c r="K664" s="23"/>
      <c r="L664" s="23"/>
      <c r="M664" s="23"/>
    </row>
    <row r="665">
      <c r="B665" s="27"/>
      <c r="C665" s="27"/>
      <c r="D665" s="23"/>
      <c r="E665" s="23"/>
      <c r="K665" s="23"/>
      <c r="L665" s="23"/>
      <c r="M665" s="23"/>
    </row>
    <row r="666">
      <c r="B666" s="27"/>
      <c r="C666" s="27"/>
      <c r="D666" s="23"/>
      <c r="E666" s="23"/>
      <c r="K666" s="23"/>
      <c r="L666" s="23"/>
      <c r="M666" s="23"/>
    </row>
    <row r="667">
      <c r="B667" s="27"/>
      <c r="C667" s="27"/>
      <c r="D667" s="23"/>
      <c r="E667" s="23"/>
      <c r="K667" s="23"/>
      <c r="L667" s="23"/>
      <c r="M667" s="23"/>
    </row>
    <row r="668">
      <c r="B668" s="27"/>
      <c r="C668" s="27"/>
      <c r="D668" s="23"/>
      <c r="E668" s="23"/>
      <c r="K668" s="23"/>
      <c r="L668" s="23"/>
      <c r="M668" s="23"/>
    </row>
    <row r="669">
      <c r="B669" s="27"/>
      <c r="C669" s="27"/>
      <c r="D669" s="23"/>
      <c r="E669" s="23"/>
      <c r="K669" s="23"/>
      <c r="L669" s="23"/>
      <c r="M669" s="23"/>
    </row>
    <row r="670">
      <c r="B670" s="27"/>
      <c r="C670" s="27"/>
      <c r="D670" s="23"/>
      <c r="E670" s="23"/>
      <c r="K670" s="23"/>
      <c r="L670" s="23"/>
      <c r="M670" s="23"/>
    </row>
    <row r="671">
      <c r="B671" s="27"/>
      <c r="C671" s="27"/>
      <c r="D671" s="23"/>
      <c r="E671" s="23"/>
      <c r="K671" s="23"/>
      <c r="L671" s="23"/>
      <c r="M671" s="23"/>
    </row>
    <row r="672">
      <c r="B672" s="27"/>
      <c r="C672" s="27"/>
      <c r="D672" s="23"/>
      <c r="E672" s="23"/>
      <c r="K672" s="23"/>
      <c r="L672" s="23"/>
      <c r="M672" s="23"/>
    </row>
    <row r="673">
      <c r="B673" s="27"/>
      <c r="C673" s="27"/>
      <c r="D673" s="23"/>
      <c r="E673" s="23"/>
      <c r="K673" s="23"/>
      <c r="L673" s="23"/>
      <c r="M673" s="23"/>
    </row>
    <row r="674">
      <c r="B674" s="27"/>
      <c r="C674" s="27"/>
      <c r="D674" s="23"/>
      <c r="E674" s="23"/>
      <c r="K674" s="23"/>
      <c r="L674" s="23"/>
      <c r="M674" s="23"/>
    </row>
    <row r="675">
      <c r="B675" s="27"/>
      <c r="C675" s="27"/>
      <c r="D675" s="23"/>
      <c r="E675" s="23"/>
      <c r="K675" s="23"/>
      <c r="L675" s="23"/>
      <c r="M675" s="23"/>
    </row>
    <row r="676">
      <c r="B676" s="27"/>
      <c r="C676" s="27"/>
      <c r="D676" s="23"/>
      <c r="E676" s="23"/>
      <c r="K676" s="23"/>
      <c r="L676" s="23"/>
      <c r="M676" s="23"/>
    </row>
    <row r="677">
      <c r="B677" s="27"/>
      <c r="C677" s="27"/>
      <c r="D677" s="23"/>
      <c r="E677" s="23"/>
      <c r="K677" s="23"/>
      <c r="L677" s="23"/>
      <c r="M677" s="23"/>
    </row>
    <row r="678">
      <c r="B678" s="27"/>
      <c r="C678" s="27"/>
      <c r="D678" s="23"/>
      <c r="E678" s="23"/>
      <c r="K678" s="23"/>
      <c r="L678" s="23"/>
      <c r="M678" s="23"/>
    </row>
    <row r="679">
      <c r="B679" s="27"/>
      <c r="C679" s="27"/>
      <c r="D679" s="23"/>
      <c r="E679" s="23"/>
      <c r="K679" s="23"/>
      <c r="L679" s="23"/>
      <c r="M679" s="23"/>
    </row>
    <row r="680">
      <c r="B680" s="27"/>
      <c r="C680" s="27"/>
      <c r="D680" s="23"/>
      <c r="E680" s="23"/>
      <c r="K680" s="23"/>
      <c r="L680" s="23"/>
      <c r="M680" s="23"/>
    </row>
    <row r="681">
      <c r="B681" s="27"/>
      <c r="C681" s="27"/>
      <c r="D681" s="23"/>
      <c r="E681" s="23"/>
      <c r="K681" s="23"/>
      <c r="L681" s="23"/>
      <c r="M681" s="23"/>
    </row>
    <row r="682">
      <c r="B682" s="27"/>
      <c r="C682" s="27"/>
      <c r="D682" s="23"/>
      <c r="E682" s="23"/>
      <c r="K682" s="23"/>
      <c r="L682" s="23"/>
      <c r="M682" s="23"/>
    </row>
    <row r="683">
      <c r="B683" s="27"/>
      <c r="C683" s="27"/>
      <c r="D683" s="23"/>
      <c r="E683" s="23"/>
      <c r="K683" s="23"/>
      <c r="L683" s="23"/>
      <c r="M683" s="23"/>
    </row>
    <row r="684">
      <c r="B684" s="27"/>
      <c r="C684" s="27"/>
      <c r="D684" s="23"/>
      <c r="E684" s="23"/>
      <c r="K684" s="23"/>
      <c r="L684" s="23"/>
      <c r="M684" s="23"/>
    </row>
    <row r="685">
      <c r="B685" s="27"/>
      <c r="C685" s="27"/>
      <c r="D685" s="23"/>
      <c r="E685" s="23"/>
      <c r="K685" s="23"/>
      <c r="L685" s="23"/>
      <c r="M685" s="23"/>
    </row>
    <row r="686">
      <c r="B686" s="27"/>
      <c r="C686" s="27"/>
      <c r="D686" s="23"/>
      <c r="E686" s="23"/>
      <c r="K686" s="23"/>
      <c r="L686" s="23"/>
      <c r="M686" s="23"/>
    </row>
    <row r="687">
      <c r="B687" s="27"/>
      <c r="C687" s="27"/>
      <c r="D687" s="23"/>
      <c r="E687" s="23"/>
      <c r="K687" s="23"/>
      <c r="L687" s="23"/>
      <c r="M687" s="23"/>
    </row>
    <row r="688">
      <c r="B688" s="27"/>
      <c r="C688" s="27"/>
      <c r="D688" s="23"/>
      <c r="E688" s="23"/>
      <c r="K688" s="23"/>
      <c r="L688" s="23"/>
      <c r="M688" s="23"/>
    </row>
    <row r="689">
      <c r="B689" s="27"/>
      <c r="C689" s="27"/>
      <c r="D689" s="23"/>
      <c r="E689" s="23"/>
      <c r="K689" s="23"/>
      <c r="L689" s="23"/>
      <c r="M689" s="23"/>
    </row>
    <row r="690">
      <c r="B690" s="27"/>
      <c r="C690" s="27"/>
      <c r="D690" s="23"/>
      <c r="E690" s="23"/>
      <c r="K690" s="23"/>
      <c r="L690" s="23"/>
      <c r="M690" s="23"/>
    </row>
    <row r="691">
      <c r="B691" s="27"/>
      <c r="C691" s="27"/>
      <c r="D691" s="23"/>
      <c r="E691" s="23"/>
      <c r="K691" s="23"/>
      <c r="L691" s="23"/>
      <c r="M691" s="23"/>
    </row>
    <row r="692">
      <c r="B692" s="27"/>
      <c r="C692" s="27"/>
      <c r="D692" s="23"/>
      <c r="E692" s="23"/>
      <c r="K692" s="23"/>
      <c r="L692" s="23"/>
      <c r="M692" s="23"/>
    </row>
    <row r="693">
      <c r="B693" s="27"/>
      <c r="C693" s="27"/>
      <c r="D693" s="23"/>
      <c r="E693" s="23"/>
      <c r="K693" s="23"/>
      <c r="L693" s="23"/>
      <c r="M693" s="23"/>
    </row>
    <row r="694">
      <c r="B694" s="27"/>
      <c r="C694" s="27"/>
      <c r="D694" s="23"/>
      <c r="E694" s="23"/>
      <c r="K694" s="23"/>
      <c r="L694" s="23"/>
      <c r="M694" s="23"/>
    </row>
    <row r="695">
      <c r="B695" s="27"/>
      <c r="C695" s="27"/>
      <c r="D695" s="23"/>
      <c r="E695" s="23"/>
      <c r="K695" s="23"/>
      <c r="L695" s="23"/>
      <c r="M695" s="23"/>
    </row>
    <row r="696">
      <c r="B696" s="27"/>
      <c r="C696" s="27"/>
      <c r="D696" s="23"/>
      <c r="E696" s="23"/>
      <c r="K696" s="23"/>
      <c r="L696" s="23"/>
      <c r="M696" s="23"/>
    </row>
    <row r="697">
      <c r="B697" s="27"/>
      <c r="C697" s="27"/>
      <c r="D697" s="23"/>
      <c r="E697" s="23"/>
      <c r="K697" s="23"/>
      <c r="L697" s="23"/>
      <c r="M697" s="23"/>
    </row>
    <row r="698">
      <c r="B698" s="27"/>
      <c r="C698" s="27"/>
      <c r="D698" s="23"/>
      <c r="E698" s="23"/>
      <c r="K698" s="23"/>
      <c r="L698" s="23"/>
      <c r="M698" s="23"/>
    </row>
    <row r="699">
      <c r="B699" s="27"/>
      <c r="C699" s="27"/>
      <c r="D699" s="23"/>
      <c r="E699" s="23"/>
      <c r="K699" s="23"/>
      <c r="L699" s="23"/>
      <c r="M699" s="23"/>
    </row>
    <row r="700">
      <c r="B700" s="27"/>
      <c r="C700" s="27"/>
      <c r="D700" s="23"/>
      <c r="E700" s="23"/>
      <c r="K700" s="23"/>
      <c r="L700" s="23"/>
      <c r="M700" s="23"/>
    </row>
    <row r="701">
      <c r="B701" s="27"/>
      <c r="C701" s="27"/>
      <c r="D701" s="23"/>
      <c r="E701" s="23"/>
      <c r="K701" s="23"/>
      <c r="L701" s="23"/>
      <c r="M701" s="23"/>
    </row>
    <row r="702">
      <c r="B702" s="27"/>
      <c r="C702" s="27"/>
      <c r="D702" s="23"/>
      <c r="E702" s="23"/>
      <c r="K702" s="23"/>
      <c r="L702" s="23"/>
      <c r="M702" s="23"/>
    </row>
    <row r="703">
      <c r="B703" s="27"/>
      <c r="C703" s="27"/>
      <c r="D703" s="23"/>
      <c r="E703" s="23"/>
      <c r="K703" s="23"/>
      <c r="L703" s="23"/>
      <c r="M703" s="23"/>
    </row>
    <row r="704">
      <c r="B704" s="27"/>
      <c r="C704" s="27"/>
      <c r="D704" s="23"/>
      <c r="E704" s="23"/>
      <c r="K704" s="23"/>
      <c r="L704" s="23"/>
      <c r="M704" s="23"/>
    </row>
    <row r="705">
      <c r="B705" s="27"/>
      <c r="C705" s="27"/>
      <c r="D705" s="23"/>
      <c r="E705" s="23"/>
      <c r="K705" s="23"/>
      <c r="L705" s="23"/>
      <c r="M705" s="23"/>
    </row>
    <row r="706">
      <c r="B706" s="27"/>
      <c r="C706" s="27"/>
      <c r="D706" s="23"/>
      <c r="E706" s="23"/>
      <c r="K706" s="23"/>
      <c r="L706" s="23"/>
      <c r="M706" s="23"/>
    </row>
    <row r="707">
      <c r="B707" s="27"/>
      <c r="C707" s="27"/>
      <c r="D707" s="23"/>
      <c r="E707" s="23"/>
      <c r="K707" s="23"/>
      <c r="L707" s="23"/>
      <c r="M707" s="23"/>
    </row>
    <row r="708">
      <c r="B708" s="27"/>
      <c r="C708" s="27"/>
      <c r="D708" s="23"/>
      <c r="E708" s="23"/>
      <c r="K708" s="23"/>
      <c r="L708" s="23"/>
      <c r="M708" s="23"/>
    </row>
    <row r="709">
      <c r="B709" s="27"/>
      <c r="C709" s="27"/>
      <c r="D709" s="23"/>
      <c r="E709" s="23"/>
      <c r="K709" s="23"/>
      <c r="L709" s="23"/>
      <c r="M709" s="23"/>
    </row>
    <row r="710">
      <c r="B710" s="27"/>
      <c r="C710" s="27"/>
      <c r="D710" s="23"/>
      <c r="E710" s="23"/>
      <c r="K710" s="23"/>
      <c r="L710" s="23"/>
      <c r="M710" s="23"/>
    </row>
    <row r="711">
      <c r="B711" s="27"/>
      <c r="C711" s="27"/>
      <c r="D711" s="23"/>
      <c r="E711" s="23"/>
      <c r="K711" s="23"/>
      <c r="L711" s="23"/>
      <c r="M711" s="23"/>
    </row>
    <row r="712">
      <c r="B712" s="27"/>
      <c r="C712" s="27"/>
      <c r="D712" s="23"/>
      <c r="E712" s="23"/>
      <c r="K712" s="23"/>
      <c r="L712" s="23"/>
      <c r="M712" s="23"/>
    </row>
    <row r="713">
      <c r="B713" s="27"/>
      <c r="C713" s="27"/>
      <c r="D713" s="23"/>
      <c r="E713" s="23"/>
      <c r="K713" s="23"/>
      <c r="L713" s="23"/>
      <c r="M713" s="23"/>
    </row>
    <row r="714">
      <c r="B714" s="27"/>
      <c r="C714" s="27"/>
      <c r="D714" s="23"/>
      <c r="E714" s="23"/>
      <c r="K714" s="23"/>
      <c r="L714" s="23"/>
      <c r="M714" s="23"/>
    </row>
    <row r="715">
      <c r="B715" s="27"/>
      <c r="C715" s="27"/>
      <c r="D715" s="23"/>
      <c r="E715" s="23"/>
      <c r="K715" s="23"/>
      <c r="L715" s="23"/>
      <c r="M715" s="23"/>
    </row>
    <row r="716">
      <c r="B716" s="27"/>
      <c r="C716" s="27"/>
      <c r="D716" s="23"/>
      <c r="E716" s="23"/>
      <c r="K716" s="23"/>
      <c r="L716" s="23"/>
      <c r="M716" s="23"/>
    </row>
    <row r="717">
      <c r="B717" s="27"/>
      <c r="C717" s="27"/>
      <c r="D717" s="23"/>
      <c r="E717" s="23"/>
      <c r="K717" s="23"/>
      <c r="L717" s="23"/>
      <c r="M717" s="23"/>
    </row>
    <row r="718">
      <c r="B718" s="27"/>
      <c r="C718" s="27"/>
      <c r="D718" s="23"/>
      <c r="E718" s="23"/>
      <c r="K718" s="23"/>
      <c r="L718" s="23"/>
      <c r="M718" s="23"/>
    </row>
    <row r="719">
      <c r="B719" s="27"/>
      <c r="C719" s="27"/>
      <c r="D719" s="23"/>
      <c r="E719" s="23"/>
      <c r="K719" s="23"/>
      <c r="L719" s="23"/>
      <c r="M719" s="23"/>
    </row>
    <row r="720">
      <c r="B720" s="27"/>
      <c r="C720" s="27"/>
      <c r="D720" s="23"/>
      <c r="E720" s="23"/>
      <c r="K720" s="23"/>
      <c r="L720" s="23"/>
      <c r="M720" s="23"/>
    </row>
    <row r="721">
      <c r="B721" s="27"/>
      <c r="C721" s="27"/>
      <c r="D721" s="23"/>
      <c r="E721" s="23"/>
      <c r="K721" s="23"/>
      <c r="L721" s="23"/>
      <c r="M721" s="23"/>
    </row>
    <row r="722">
      <c r="B722" s="27"/>
      <c r="C722" s="27"/>
      <c r="D722" s="23"/>
      <c r="E722" s="23"/>
      <c r="K722" s="23"/>
      <c r="L722" s="23"/>
      <c r="M722" s="23"/>
    </row>
    <row r="723">
      <c r="B723" s="27"/>
      <c r="C723" s="27"/>
      <c r="D723" s="23"/>
      <c r="E723" s="23"/>
      <c r="K723" s="23"/>
      <c r="L723" s="23"/>
      <c r="M723" s="23"/>
    </row>
    <row r="724">
      <c r="B724" s="27"/>
      <c r="C724" s="27"/>
      <c r="D724" s="23"/>
      <c r="E724" s="23"/>
      <c r="K724" s="23"/>
      <c r="L724" s="23"/>
      <c r="M724" s="23"/>
    </row>
    <row r="725">
      <c r="B725" s="27"/>
      <c r="C725" s="27"/>
      <c r="D725" s="23"/>
      <c r="E725" s="23"/>
      <c r="K725" s="23"/>
      <c r="L725" s="23"/>
      <c r="M725" s="23"/>
    </row>
    <row r="726">
      <c r="B726" s="27"/>
      <c r="C726" s="27"/>
      <c r="D726" s="23"/>
      <c r="E726" s="23"/>
      <c r="K726" s="23"/>
      <c r="L726" s="23"/>
      <c r="M726" s="23"/>
    </row>
    <row r="727">
      <c r="B727" s="27"/>
      <c r="C727" s="27"/>
      <c r="D727" s="23"/>
      <c r="E727" s="23"/>
      <c r="K727" s="23"/>
      <c r="L727" s="23"/>
      <c r="M727" s="23"/>
    </row>
    <row r="728">
      <c r="B728" s="27"/>
      <c r="C728" s="27"/>
      <c r="D728" s="23"/>
      <c r="E728" s="23"/>
      <c r="K728" s="23"/>
      <c r="L728" s="23"/>
      <c r="M728" s="23"/>
    </row>
    <row r="729">
      <c r="B729" s="27"/>
      <c r="C729" s="27"/>
      <c r="D729" s="23"/>
      <c r="E729" s="23"/>
      <c r="K729" s="23"/>
      <c r="L729" s="23"/>
      <c r="M729" s="23"/>
    </row>
    <row r="730">
      <c r="B730" s="27"/>
      <c r="C730" s="27"/>
      <c r="D730" s="23"/>
      <c r="E730" s="23"/>
      <c r="K730" s="23"/>
      <c r="L730" s="23"/>
      <c r="M730" s="23"/>
    </row>
    <row r="731">
      <c r="B731" s="27"/>
      <c r="C731" s="27"/>
      <c r="D731" s="23"/>
      <c r="E731" s="23"/>
      <c r="K731" s="23"/>
      <c r="L731" s="23"/>
      <c r="M731" s="23"/>
    </row>
    <row r="732">
      <c r="B732" s="27"/>
      <c r="C732" s="27"/>
      <c r="D732" s="23"/>
      <c r="E732" s="23"/>
      <c r="K732" s="23"/>
      <c r="L732" s="23"/>
      <c r="M732" s="23"/>
    </row>
    <row r="733">
      <c r="B733" s="27"/>
      <c r="C733" s="27"/>
      <c r="D733" s="23"/>
      <c r="E733" s="23"/>
      <c r="K733" s="23"/>
      <c r="L733" s="23"/>
      <c r="M733" s="23"/>
    </row>
    <row r="734">
      <c r="B734" s="27"/>
      <c r="C734" s="27"/>
      <c r="D734" s="23"/>
      <c r="E734" s="23"/>
      <c r="K734" s="23"/>
      <c r="L734" s="23"/>
      <c r="M734" s="23"/>
    </row>
    <row r="735">
      <c r="B735" s="27"/>
      <c r="C735" s="27"/>
      <c r="D735" s="23"/>
      <c r="E735" s="23"/>
      <c r="K735" s="23"/>
      <c r="L735" s="23"/>
      <c r="M735" s="23"/>
    </row>
    <row r="736">
      <c r="B736" s="27"/>
      <c r="C736" s="27"/>
      <c r="D736" s="23"/>
      <c r="E736" s="23"/>
      <c r="K736" s="23"/>
      <c r="L736" s="23"/>
      <c r="M736" s="23"/>
    </row>
    <row r="737">
      <c r="B737" s="27"/>
      <c r="C737" s="27"/>
      <c r="D737" s="23"/>
      <c r="E737" s="23"/>
      <c r="K737" s="23"/>
      <c r="L737" s="23"/>
      <c r="M737" s="23"/>
    </row>
    <row r="738">
      <c r="B738" s="27"/>
      <c r="C738" s="27"/>
      <c r="D738" s="23"/>
      <c r="E738" s="23"/>
      <c r="K738" s="23"/>
      <c r="L738" s="23"/>
      <c r="M738" s="23"/>
    </row>
    <row r="739">
      <c r="B739" s="27"/>
      <c r="C739" s="27"/>
      <c r="D739" s="23"/>
      <c r="E739" s="23"/>
      <c r="K739" s="23"/>
      <c r="L739" s="23"/>
      <c r="M739" s="23"/>
    </row>
    <row r="740">
      <c r="B740" s="27"/>
      <c r="C740" s="27"/>
      <c r="D740" s="23"/>
      <c r="E740" s="23"/>
      <c r="K740" s="23"/>
      <c r="L740" s="23"/>
      <c r="M740" s="23"/>
    </row>
    <row r="741">
      <c r="B741" s="27"/>
      <c r="C741" s="27"/>
      <c r="D741" s="23"/>
      <c r="E741" s="23"/>
      <c r="K741" s="23"/>
      <c r="L741" s="23"/>
      <c r="M741" s="23"/>
    </row>
    <row r="742">
      <c r="B742" s="27"/>
      <c r="C742" s="27"/>
      <c r="D742" s="23"/>
      <c r="E742" s="23"/>
      <c r="K742" s="23"/>
      <c r="L742" s="23"/>
      <c r="M742" s="23"/>
    </row>
    <row r="743">
      <c r="B743" s="27"/>
      <c r="C743" s="27"/>
      <c r="D743" s="23"/>
      <c r="E743" s="23"/>
      <c r="K743" s="23"/>
      <c r="L743" s="23"/>
      <c r="M743" s="23"/>
    </row>
    <row r="744">
      <c r="B744" s="27"/>
      <c r="C744" s="27"/>
      <c r="D744" s="23"/>
      <c r="E744" s="23"/>
      <c r="K744" s="23"/>
      <c r="L744" s="23"/>
      <c r="M744" s="23"/>
    </row>
    <row r="745">
      <c r="B745" s="27"/>
      <c r="C745" s="27"/>
      <c r="D745" s="23"/>
      <c r="E745" s="23"/>
      <c r="K745" s="23"/>
      <c r="L745" s="23"/>
      <c r="M745" s="23"/>
    </row>
    <row r="746">
      <c r="B746" s="27"/>
      <c r="C746" s="27"/>
      <c r="D746" s="23"/>
      <c r="E746" s="23"/>
      <c r="K746" s="23"/>
      <c r="L746" s="23"/>
      <c r="M746" s="23"/>
    </row>
    <row r="747">
      <c r="B747" s="27"/>
      <c r="C747" s="27"/>
      <c r="D747" s="23"/>
      <c r="E747" s="23"/>
      <c r="K747" s="23"/>
      <c r="L747" s="23"/>
      <c r="M747" s="23"/>
    </row>
    <row r="748">
      <c r="B748" s="27"/>
      <c r="C748" s="27"/>
      <c r="D748" s="23"/>
      <c r="E748" s="23"/>
      <c r="K748" s="23"/>
      <c r="L748" s="23"/>
      <c r="M748" s="23"/>
    </row>
    <row r="749">
      <c r="B749" s="27"/>
      <c r="C749" s="27"/>
      <c r="D749" s="23"/>
      <c r="E749" s="23"/>
      <c r="K749" s="23"/>
      <c r="L749" s="23"/>
      <c r="M749" s="23"/>
    </row>
    <row r="750">
      <c r="B750" s="27"/>
      <c r="C750" s="27"/>
      <c r="D750" s="23"/>
      <c r="E750" s="23"/>
      <c r="K750" s="23"/>
      <c r="L750" s="23"/>
      <c r="M750" s="23"/>
    </row>
    <row r="751">
      <c r="B751" s="27"/>
      <c r="C751" s="27"/>
      <c r="D751" s="23"/>
      <c r="E751" s="23"/>
      <c r="K751" s="23"/>
      <c r="L751" s="23"/>
      <c r="M751" s="23"/>
    </row>
    <row r="752">
      <c r="B752" s="27"/>
      <c r="C752" s="27"/>
      <c r="D752" s="23"/>
      <c r="E752" s="23"/>
      <c r="K752" s="23"/>
      <c r="L752" s="23"/>
      <c r="M752" s="23"/>
    </row>
    <row r="753">
      <c r="B753" s="27"/>
      <c r="C753" s="27"/>
      <c r="D753" s="23"/>
      <c r="E753" s="23"/>
      <c r="K753" s="23"/>
      <c r="L753" s="23"/>
      <c r="M753" s="23"/>
    </row>
    <row r="754">
      <c r="B754" s="27"/>
      <c r="C754" s="27"/>
      <c r="D754" s="23"/>
      <c r="E754" s="23"/>
      <c r="K754" s="23"/>
      <c r="L754" s="23"/>
      <c r="M754" s="23"/>
    </row>
    <row r="755">
      <c r="B755" s="27"/>
      <c r="C755" s="27"/>
      <c r="D755" s="23"/>
      <c r="E755" s="23"/>
      <c r="K755" s="23"/>
      <c r="L755" s="23"/>
      <c r="M755" s="23"/>
    </row>
    <row r="756">
      <c r="B756" s="27"/>
      <c r="C756" s="27"/>
      <c r="D756" s="23"/>
      <c r="E756" s="23"/>
      <c r="K756" s="23"/>
      <c r="L756" s="23"/>
      <c r="M756" s="23"/>
    </row>
    <row r="757">
      <c r="B757" s="27"/>
      <c r="C757" s="27"/>
      <c r="D757" s="23"/>
      <c r="E757" s="23"/>
      <c r="K757" s="23"/>
      <c r="L757" s="23"/>
      <c r="M757" s="23"/>
    </row>
    <row r="758">
      <c r="B758" s="27"/>
      <c r="C758" s="27"/>
      <c r="D758" s="23"/>
      <c r="E758" s="23"/>
      <c r="K758" s="23"/>
      <c r="L758" s="23"/>
      <c r="M758" s="23"/>
    </row>
    <row r="759">
      <c r="B759" s="27"/>
      <c r="C759" s="27"/>
      <c r="D759" s="23"/>
      <c r="E759" s="23"/>
      <c r="K759" s="23"/>
      <c r="L759" s="23"/>
      <c r="M759" s="23"/>
    </row>
    <row r="760">
      <c r="B760" s="27"/>
      <c r="C760" s="27"/>
      <c r="D760" s="23"/>
      <c r="E760" s="23"/>
      <c r="K760" s="23"/>
      <c r="L760" s="23"/>
      <c r="M760" s="23"/>
    </row>
    <row r="761">
      <c r="B761" s="27"/>
      <c r="C761" s="27"/>
      <c r="D761" s="23"/>
      <c r="E761" s="23"/>
      <c r="K761" s="23"/>
      <c r="L761" s="23"/>
      <c r="M761" s="23"/>
    </row>
    <row r="762">
      <c r="B762" s="27"/>
      <c r="C762" s="27"/>
      <c r="D762" s="23"/>
      <c r="E762" s="23"/>
      <c r="K762" s="23"/>
      <c r="L762" s="23"/>
      <c r="M762" s="23"/>
    </row>
    <row r="763">
      <c r="B763" s="27"/>
      <c r="C763" s="27"/>
      <c r="D763" s="23"/>
      <c r="E763" s="23"/>
      <c r="K763" s="23"/>
      <c r="L763" s="23"/>
      <c r="M763" s="23"/>
    </row>
    <row r="764">
      <c r="B764" s="27"/>
      <c r="C764" s="27"/>
      <c r="D764" s="23"/>
      <c r="E764" s="23"/>
      <c r="K764" s="23"/>
      <c r="L764" s="23"/>
      <c r="M764" s="23"/>
    </row>
    <row r="765">
      <c r="B765" s="27"/>
      <c r="C765" s="27"/>
      <c r="D765" s="23"/>
      <c r="E765" s="23"/>
      <c r="K765" s="23"/>
      <c r="L765" s="23"/>
      <c r="M765" s="23"/>
    </row>
    <row r="766">
      <c r="B766" s="27"/>
      <c r="C766" s="27"/>
      <c r="D766" s="23"/>
      <c r="E766" s="23"/>
      <c r="K766" s="23"/>
      <c r="L766" s="23"/>
      <c r="M766" s="23"/>
    </row>
    <row r="767">
      <c r="B767" s="27"/>
      <c r="C767" s="27"/>
      <c r="D767" s="23"/>
      <c r="E767" s="23"/>
      <c r="K767" s="23"/>
      <c r="L767" s="23"/>
      <c r="M767" s="23"/>
    </row>
    <row r="768">
      <c r="B768" s="27"/>
      <c r="C768" s="27"/>
      <c r="D768" s="23"/>
      <c r="E768" s="23"/>
      <c r="K768" s="23"/>
      <c r="L768" s="23"/>
      <c r="M768" s="23"/>
    </row>
    <row r="769">
      <c r="B769" s="27"/>
      <c r="C769" s="27"/>
      <c r="D769" s="23"/>
      <c r="E769" s="23"/>
      <c r="K769" s="23"/>
      <c r="L769" s="23"/>
      <c r="M769" s="23"/>
    </row>
    <row r="770">
      <c r="B770" s="27"/>
      <c r="C770" s="27"/>
      <c r="D770" s="23"/>
      <c r="E770" s="23"/>
      <c r="K770" s="23"/>
      <c r="L770" s="23"/>
      <c r="M770" s="23"/>
    </row>
    <row r="771">
      <c r="B771" s="27"/>
      <c r="C771" s="27"/>
      <c r="D771" s="23"/>
      <c r="E771" s="23"/>
      <c r="K771" s="23"/>
      <c r="L771" s="23"/>
      <c r="M771" s="23"/>
    </row>
    <row r="772">
      <c r="B772" s="27"/>
      <c r="C772" s="27"/>
      <c r="D772" s="23"/>
      <c r="E772" s="23"/>
      <c r="K772" s="23"/>
      <c r="L772" s="23"/>
      <c r="M772" s="23"/>
    </row>
    <row r="773">
      <c r="B773" s="27"/>
      <c r="C773" s="27"/>
      <c r="D773" s="23"/>
      <c r="E773" s="23"/>
      <c r="K773" s="23"/>
      <c r="L773" s="23"/>
      <c r="M773" s="23"/>
    </row>
    <row r="774">
      <c r="B774" s="27"/>
      <c r="C774" s="27"/>
      <c r="D774" s="23"/>
      <c r="E774" s="23"/>
      <c r="K774" s="23"/>
      <c r="L774" s="23"/>
      <c r="M774" s="23"/>
    </row>
    <row r="775">
      <c r="B775" s="27"/>
      <c r="C775" s="27"/>
      <c r="D775" s="23"/>
      <c r="E775" s="23"/>
      <c r="K775" s="23"/>
      <c r="L775" s="23"/>
      <c r="M775" s="23"/>
    </row>
    <row r="776">
      <c r="B776" s="27"/>
      <c r="C776" s="27"/>
      <c r="D776" s="23"/>
      <c r="E776" s="23"/>
      <c r="K776" s="23"/>
      <c r="L776" s="23"/>
      <c r="M776" s="23"/>
    </row>
    <row r="777">
      <c r="B777" s="27"/>
      <c r="C777" s="27"/>
      <c r="D777" s="23"/>
      <c r="E777" s="23"/>
      <c r="K777" s="23"/>
      <c r="L777" s="23"/>
      <c r="M777" s="23"/>
    </row>
    <row r="778">
      <c r="B778" s="27"/>
      <c r="C778" s="27"/>
      <c r="D778" s="23"/>
      <c r="E778" s="23"/>
      <c r="K778" s="23"/>
      <c r="L778" s="23"/>
      <c r="M778" s="23"/>
    </row>
    <row r="779">
      <c r="B779" s="27"/>
      <c r="C779" s="27"/>
      <c r="D779" s="23"/>
      <c r="E779" s="23"/>
      <c r="K779" s="23"/>
      <c r="L779" s="23"/>
      <c r="M779" s="23"/>
    </row>
    <row r="780">
      <c r="B780" s="27"/>
      <c r="C780" s="27"/>
      <c r="D780" s="23"/>
      <c r="E780" s="23"/>
      <c r="K780" s="23"/>
      <c r="L780" s="23"/>
      <c r="M780" s="23"/>
    </row>
    <row r="781">
      <c r="B781" s="27"/>
      <c r="C781" s="27"/>
      <c r="D781" s="23"/>
      <c r="E781" s="23"/>
      <c r="K781" s="23"/>
      <c r="L781" s="23"/>
      <c r="M781" s="23"/>
    </row>
    <row r="782">
      <c r="B782" s="27"/>
      <c r="C782" s="27"/>
      <c r="D782" s="23"/>
      <c r="E782" s="23"/>
      <c r="K782" s="23"/>
      <c r="L782" s="23"/>
      <c r="M782" s="23"/>
    </row>
    <row r="783">
      <c r="B783" s="27"/>
      <c r="C783" s="27"/>
      <c r="D783" s="23"/>
      <c r="E783" s="23"/>
      <c r="K783" s="23"/>
      <c r="L783" s="23"/>
      <c r="M783" s="23"/>
    </row>
    <row r="784">
      <c r="B784" s="27"/>
      <c r="C784" s="27"/>
      <c r="D784" s="23"/>
      <c r="E784" s="23"/>
      <c r="K784" s="23"/>
      <c r="L784" s="23"/>
      <c r="M784" s="23"/>
    </row>
    <row r="785">
      <c r="B785" s="27"/>
      <c r="C785" s="27"/>
      <c r="D785" s="23"/>
      <c r="E785" s="23"/>
      <c r="K785" s="23"/>
      <c r="L785" s="23"/>
      <c r="M785" s="23"/>
    </row>
    <row r="786">
      <c r="B786" s="27"/>
      <c r="C786" s="27"/>
      <c r="D786" s="23"/>
      <c r="E786" s="23"/>
      <c r="K786" s="23"/>
      <c r="L786" s="23"/>
      <c r="M786" s="23"/>
    </row>
    <row r="787">
      <c r="B787" s="27"/>
      <c r="C787" s="27"/>
      <c r="D787" s="23"/>
      <c r="E787" s="23"/>
      <c r="K787" s="23"/>
      <c r="L787" s="23"/>
      <c r="M787" s="23"/>
    </row>
    <row r="788">
      <c r="B788" s="27"/>
      <c r="C788" s="27"/>
      <c r="D788" s="23"/>
      <c r="E788" s="23"/>
      <c r="K788" s="23"/>
      <c r="L788" s="23"/>
      <c r="M788" s="23"/>
    </row>
    <row r="789">
      <c r="B789" s="27"/>
      <c r="C789" s="27"/>
      <c r="D789" s="23"/>
      <c r="E789" s="23"/>
      <c r="K789" s="23"/>
      <c r="L789" s="23"/>
      <c r="M789" s="23"/>
    </row>
    <row r="790">
      <c r="B790" s="27"/>
      <c r="C790" s="27"/>
      <c r="D790" s="23"/>
      <c r="E790" s="23"/>
      <c r="K790" s="23"/>
      <c r="L790" s="23"/>
      <c r="M790" s="23"/>
    </row>
    <row r="791">
      <c r="B791" s="27"/>
      <c r="C791" s="27"/>
      <c r="D791" s="23"/>
      <c r="E791" s="23"/>
      <c r="K791" s="23"/>
      <c r="L791" s="23"/>
      <c r="M791" s="23"/>
    </row>
    <row r="792">
      <c r="B792" s="27"/>
      <c r="C792" s="27"/>
      <c r="D792" s="23"/>
      <c r="E792" s="23"/>
      <c r="K792" s="23"/>
      <c r="L792" s="23"/>
      <c r="M792" s="23"/>
    </row>
    <row r="793">
      <c r="B793" s="27"/>
      <c r="C793" s="27"/>
      <c r="D793" s="23"/>
      <c r="E793" s="23"/>
      <c r="K793" s="23"/>
      <c r="L793" s="23"/>
      <c r="M793" s="23"/>
    </row>
    <row r="794">
      <c r="B794" s="27"/>
      <c r="C794" s="27"/>
      <c r="D794" s="23"/>
      <c r="E794" s="23"/>
      <c r="K794" s="23"/>
      <c r="L794" s="23"/>
      <c r="M794" s="23"/>
    </row>
    <row r="795">
      <c r="B795" s="27"/>
      <c r="C795" s="27"/>
      <c r="D795" s="23"/>
      <c r="E795" s="23"/>
      <c r="K795" s="23"/>
      <c r="L795" s="23"/>
      <c r="M795" s="23"/>
    </row>
    <row r="796">
      <c r="B796" s="27"/>
      <c r="C796" s="27"/>
      <c r="D796" s="23"/>
      <c r="E796" s="23"/>
      <c r="K796" s="23"/>
      <c r="L796" s="23"/>
      <c r="M796" s="23"/>
    </row>
    <row r="797">
      <c r="B797" s="27"/>
      <c r="C797" s="27"/>
      <c r="D797" s="23"/>
      <c r="E797" s="23"/>
      <c r="K797" s="23"/>
      <c r="L797" s="23"/>
      <c r="M797" s="23"/>
    </row>
    <row r="798">
      <c r="B798" s="27"/>
      <c r="C798" s="27"/>
      <c r="D798" s="23"/>
      <c r="E798" s="23"/>
      <c r="K798" s="23"/>
      <c r="L798" s="23"/>
      <c r="M798" s="23"/>
    </row>
    <row r="799">
      <c r="B799" s="27"/>
      <c r="C799" s="27"/>
      <c r="D799" s="23"/>
      <c r="E799" s="23"/>
      <c r="K799" s="23"/>
      <c r="L799" s="23"/>
      <c r="M799" s="23"/>
    </row>
    <row r="800">
      <c r="B800" s="27"/>
      <c r="C800" s="27"/>
      <c r="D800" s="23"/>
      <c r="E800" s="23"/>
      <c r="K800" s="23"/>
      <c r="L800" s="23"/>
      <c r="M800" s="23"/>
    </row>
    <row r="801">
      <c r="B801" s="27"/>
      <c r="C801" s="27"/>
      <c r="D801" s="23"/>
      <c r="E801" s="23"/>
      <c r="K801" s="23"/>
      <c r="L801" s="23"/>
      <c r="M801" s="23"/>
    </row>
    <row r="802">
      <c r="B802" s="27"/>
      <c r="C802" s="27"/>
      <c r="D802" s="23"/>
      <c r="E802" s="23"/>
      <c r="K802" s="23"/>
      <c r="L802" s="23"/>
      <c r="M802" s="23"/>
    </row>
    <row r="803">
      <c r="B803" s="27"/>
      <c r="C803" s="27"/>
      <c r="D803" s="23"/>
      <c r="E803" s="23"/>
      <c r="K803" s="23"/>
      <c r="L803" s="23"/>
      <c r="M803" s="23"/>
    </row>
    <row r="804">
      <c r="B804" s="27"/>
      <c r="C804" s="27"/>
      <c r="D804" s="23"/>
      <c r="E804" s="23"/>
      <c r="K804" s="23"/>
      <c r="L804" s="23"/>
      <c r="M804" s="23"/>
    </row>
    <row r="805">
      <c r="B805" s="27"/>
      <c r="C805" s="27"/>
      <c r="D805" s="23"/>
      <c r="E805" s="23"/>
      <c r="K805" s="23"/>
      <c r="L805" s="23"/>
      <c r="M805" s="23"/>
    </row>
    <row r="806">
      <c r="B806" s="27"/>
      <c r="C806" s="27"/>
      <c r="D806" s="23"/>
      <c r="E806" s="23"/>
      <c r="K806" s="23"/>
      <c r="L806" s="23"/>
      <c r="M806" s="23"/>
    </row>
    <row r="807">
      <c r="B807" s="27"/>
      <c r="C807" s="27"/>
      <c r="D807" s="23"/>
      <c r="E807" s="23"/>
      <c r="K807" s="23"/>
      <c r="L807" s="23"/>
      <c r="M807" s="23"/>
    </row>
    <row r="808">
      <c r="B808" s="27"/>
      <c r="C808" s="27"/>
      <c r="D808" s="23"/>
      <c r="E808" s="23"/>
      <c r="K808" s="23"/>
      <c r="L808" s="23"/>
      <c r="M808" s="23"/>
    </row>
    <row r="809">
      <c r="B809" s="27"/>
      <c r="C809" s="27"/>
      <c r="D809" s="23"/>
      <c r="E809" s="23"/>
      <c r="K809" s="23"/>
      <c r="L809" s="23"/>
      <c r="M809" s="23"/>
    </row>
    <row r="810">
      <c r="B810" s="27"/>
      <c r="C810" s="27"/>
      <c r="D810" s="23"/>
      <c r="E810" s="23"/>
      <c r="K810" s="23"/>
      <c r="L810" s="23"/>
      <c r="M810" s="23"/>
    </row>
    <row r="811">
      <c r="B811" s="27"/>
      <c r="C811" s="27"/>
      <c r="D811" s="23"/>
      <c r="E811" s="23"/>
      <c r="K811" s="23"/>
      <c r="L811" s="23"/>
      <c r="M811" s="23"/>
    </row>
    <row r="812">
      <c r="B812" s="27"/>
      <c r="C812" s="27"/>
      <c r="D812" s="23"/>
      <c r="E812" s="23"/>
      <c r="K812" s="23"/>
      <c r="L812" s="23"/>
      <c r="M812" s="23"/>
    </row>
    <row r="813">
      <c r="B813" s="27"/>
      <c r="C813" s="27"/>
      <c r="D813" s="23"/>
      <c r="E813" s="23"/>
      <c r="K813" s="23"/>
      <c r="L813" s="23"/>
      <c r="M813" s="23"/>
    </row>
    <row r="814">
      <c r="B814" s="27"/>
      <c r="C814" s="27"/>
      <c r="D814" s="23"/>
      <c r="E814" s="23"/>
      <c r="K814" s="23"/>
      <c r="L814" s="23"/>
      <c r="M814" s="23"/>
    </row>
    <row r="815">
      <c r="B815" s="27"/>
      <c r="C815" s="27"/>
      <c r="D815" s="23"/>
      <c r="E815" s="23"/>
      <c r="K815" s="23"/>
      <c r="L815" s="23"/>
      <c r="M815" s="23"/>
    </row>
    <row r="816">
      <c r="B816" s="27"/>
      <c r="C816" s="27"/>
      <c r="D816" s="23"/>
      <c r="E816" s="23"/>
      <c r="K816" s="23"/>
      <c r="L816" s="23"/>
      <c r="M816" s="23"/>
    </row>
    <row r="817">
      <c r="B817" s="27"/>
      <c r="C817" s="27"/>
      <c r="D817" s="23"/>
      <c r="E817" s="23"/>
      <c r="K817" s="23"/>
      <c r="L817" s="23"/>
      <c r="M817" s="23"/>
    </row>
    <row r="818">
      <c r="B818" s="27"/>
      <c r="C818" s="27"/>
      <c r="D818" s="23"/>
      <c r="E818" s="23"/>
      <c r="K818" s="23"/>
      <c r="L818" s="23"/>
      <c r="M818" s="23"/>
    </row>
    <row r="819">
      <c r="B819" s="27"/>
      <c r="C819" s="27"/>
      <c r="D819" s="23"/>
      <c r="E819" s="23"/>
      <c r="K819" s="23"/>
      <c r="L819" s="23"/>
      <c r="M819" s="23"/>
    </row>
    <row r="820">
      <c r="B820" s="27"/>
      <c r="C820" s="27"/>
      <c r="D820" s="23"/>
      <c r="E820" s="23"/>
      <c r="K820" s="23"/>
      <c r="L820" s="23"/>
      <c r="M820" s="23"/>
    </row>
    <row r="821">
      <c r="B821" s="27"/>
      <c r="C821" s="27"/>
      <c r="D821" s="23"/>
      <c r="E821" s="23"/>
      <c r="K821" s="23"/>
      <c r="L821" s="23"/>
      <c r="M821" s="23"/>
    </row>
    <row r="822">
      <c r="B822" s="27"/>
      <c r="C822" s="27"/>
      <c r="D822" s="23"/>
      <c r="E822" s="23"/>
      <c r="K822" s="23"/>
      <c r="L822" s="23"/>
      <c r="M822" s="23"/>
    </row>
    <row r="823">
      <c r="B823" s="27"/>
      <c r="C823" s="27"/>
      <c r="D823" s="23"/>
      <c r="E823" s="23"/>
      <c r="K823" s="23"/>
      <c r="L823" s="23"/>
      <c r="M823" s="23"/>
    </row>
    <row r="824">
      <c r="B824" s="27"/>
      <c r="C824" s="27"/>
      <c r="D824" s="23"/>
      <c r="E824" s="23"/>
      <c r="K824" s="23"/>
      <c r="L824" s="23"/>
      <c r="M824" s="23"/>
    </row>
    <row r="825">
      <c r="B825" s="27"/>
      <c r="C825" s="27"/>
      <c r="D825" s="23"/>
      <c r="E825" s="23"/>
      <c r="K825" s="23"/>
      <c r="L825" s="23"/>
      <c r="M825" s="23"/>
    </row>
    <row r="826">
      <c r="B826" s="27"/>
      <c r="C826" s="27"/>
      <c r="D826" s="23"/>
      <c r="E826" s="23"/>
      <c r="K826" s="23"/>
      <c r="L826" s="23"/>
      <c r="M826" s="23"/>
    </row>
    <row r="827">
      <c r="B827" s="27"/>
      <c r="C827" s="27"/>
      <c r="D827" s="23"/>
      <c r="E827" s="23"/>
      <c r="K827" s="23"/>
      <c r="L827" s="23"/>
      <c r="M827" s="23"/>
    </row>
    <row r="828">
      <c r="B828" s="27"/>
      <c r="C828" s="27"/>
      <c r="D828" s="23"/>
      <c r="E828" s="23"/>
      <c r="K828" s="23"/>
      <c r="L828" s="23"/>
      <c r="M828" s="23"/>
    </row>
    <row r="829">
      <c r="B829" s="27"/>
      <c r="C829" s="27"/>
      <c r="D829" s="23"/>
      <c r="E829" s="23"/>
      <c r="K829" s="23"/>
      <c r="L829" s="23"/>
      <c r="M829" s="23"/>
    </row>
    <row r="830">
      <c r="B830" s="27"/>
      <c r="C830" s="27"/>
      <c r="D830" s="23"/>
      <c r="E830" s="23"/>
      <c r="K830" s="23"/>
      <c r="L830" s="23"/>
      <c r="M830" s="23"/>
    </row>
    <row r="831">
      <c r="B831" s="27"/>
      <c r="C831" s="27"/>
      <c r="D831" s="23"/>
      <c r="E831" s="23"/>
      <c r="K831" s="23"/>
      <c r="L831" s="23"/>
      <c r="M831" s="23"/>
    </row>
    <row r="832">
      <c r="B832" s="27"/>
      <c r="C832" s="27"/>
      <c r="D832" s="23"/>
      <c r="E832" s="23"/>
      <c r="K832" s="23"/>
      <c r="L832" s="23"/>
      <c r="M832" s="23"/>
    </row>
    <row r="833">
      <c r="B833" s="27"/>
      <c r="C833" s="27"/>
      <c r="D833" s="23"/>
      <c r="E833" s="23"/>
      <c r="K833" s="23"/>
      <c r="L833" s="23"/>
      <c r="M833" s="23"/>
    </row>
    <row r="834">
      <c r="B834" s="27"/>
      <c r="C834" s="27"/>
      <c r="D834" s="23"/>
      <c r="E834" s="23"/>
      <c r="K834" s="23"/>
      <c r="L834" s="23"/>
      <c r="M834" s="23"/>
    </row>
    <row r="835">
      <c r="B835" s="27"/>
      <c r="C835" s="27"/>
      <c r="D835" s="23"/>
      <c r="E835" s="23"/>
      <c r="K835" s="23"/>
      <c r="L835" s="23"/>
      <c r="M835" s="23"/>
    </row>
    <row r="836">
      <c r="B836" s="27"/>
      <c r="C836" s="27"/>
      <c r="D836" s="23"/>
      <c r="E836" s="23"/>
      <c r="K836" s="23"/>
      <c r="L836" s="23"/>
      <c r="M836" s="23"/>
    </row>
    <row r="837">
      <c r="B837" s="27"/>
      <c r="C837" s="27"/>
      <c r="D837" s="23"/>
      <c r="E837" s="23"/>
      <c r="K837" s="23"/>
      <c r="L837" s="23"/>
      <c r="M837" s="23"/>
    </row>
    <row r="838">
      <c r="B838" s="27"/>
      <c r="C838" s="27"/>
      <c r="D838" s="23"/>
      <c r="E838" s="23"/>
      <c r="K838" s="23"/>
      <c r="L838" s="23"/>
      <c r="M838" s="23"/>
    </row>
    <row r="839">
      <c r="B839" s="27"/>
      <c r="C839" s="27"/>
      <c r="D839" s="23"/>
      <c r="E839" s="23"/>
      <c r="K839" s="23"/>
      <c r="L839" s="23"/>
      <c r="M839" s="23"/>
    </row>
    <row r="840">
      <c r="B840" s="27"/>
      <c r="C840" s="27"/>
      <c r="D840" s="23"/>
      <c r="E840" s="23"/>
      <c r="K840" s="23"/>
      <c r="L840" s="23"/>
      <c r="M840" s="23"/>
    </row>
    <row r="841">
      <c r="B841" s="27"/>
      <c r="C841" s="27"/>
      <c r="D841" s="23"/>
      <c r="E841" s="23"/>
      <c r="K841" s="23"/>
      <c r="L841" s="23"/>
      <c r="M841" s="23"/>
    </row>
    <row r="842">
      <c r="B842" s="27"/>
      <c r="C842" s="27"/>
      <c r="D842" s="23"/>
      <c r="E842" s="23"/>
      <c r="K842" s="23"/>
      <c r="L842" s="23"/>
      <c r="M842" s="23"/>
    </row>
    <row r="843">
      <c r="B843" s="27"/>
      <c r="C843" s="27"/>
      <c r="D843" s="23"/>
      <c r="E843" s="23"/>
      <c r="K843" s="23"/>
      <c r="L843" s="23"/>
      <c r="M843" s="23"/>
    </row>
    <row r="844">
      <c r="B844" s="27"/>
      <c r="C844" s="27"/>
      <c r="D844" s="23"/>
      <c r="E844" s="23"/>
      <c r="K844" s="23"/>
      <c r="L844" s="23"/>
      <c r="M844" s="23"/>
    </row>
    <row r="845">
      <c r="B845" s="27"/>
      <c r="C845" s="27"/>
      <c r="D845" s="23"/>
      <c r="E845" s="23"/>
      <c r="K845" s="23"/>
      <c r="L845" s="23"/>
      <c r="M845" s="23"/>
    </row>
    <row r="846">
      <c r="B846" s="27"/>
      <c r="C846" s="27"/>
      <c r="D846" s="23"/>
      <c r="E846" s="23"/>
      <c r="K846" s="23"/>
      <c r="L846" s="23"/>
      <c r="M846" s="23"/>
    </row>
    <row r="847">
      <c r="B847" s="27"/>
      <c r="C847" s="27"/>
      <c r="D847" s="23"/>
      <c r="E847" s="23"/>
      <c r="K847" s="23"/>
      <c r="L847" s="23"/>
      <c r="M847" s="23"/>
    </row>
    <row r="848">
      <c r="B848" s="27"/>
      <c r="C848" s="27"/>
      <c r="D848" s="23"/>
      <c r="E848" s="23"/>
      <c r="K848" s="23"/>
      <c r="L848" s="23"/>
      <c r="M848" s="23"/>
    </row>
    <row r="849">
      <c r="B849" s="27"/>
      <c r="C849" s="27"/>
      <c r="D849" s="23"/>
      <c r="E849" s="23"/>
      <c r="K849" s="23"/>
      <c r="L849" s="23"/>
      <c r="M849" s="23"/>
    </row>
    <row r="850">
      <c r="B850" s="27"/>
      <c r="C850" s="27"/>
      <c r="D850" s="23"/>
      <c r="E850" s="23"/>
      <c r="K850" s="23"/>
      <c r="L850" s="23"/>
      <c r="M850" s="23"/>
    </row>
    <row r="851">
      <c r="B851" s="27"/>
      <c r="C851" s="27"/>
      <c r="D851" s="23"/>
      <c r="E851" s="23"/>
      <c r="K851" s="23"/>
      <c r="L851" s="23"/>
      <c r="M851" s="23"/>
    </row>
    <row r="852">
      <c r="B852" s="27"/>
      <c r="C852" s="27"/>
      <c r="D852" s="23"/>
      <c r="E852" s="23"/>
      <c r="K852" s="23"/>
      <c r="L852" s="23"/>
      <c r="M852" s="23"/>
    </row>
    <row r="853">
      <c r="B853" s="27"/>
      <c r="C853" s="27"/>
      <c r="D853" s="23"/>
      <c r="E853" s="23"/>
      <c r="K853" s="23"/>
      <c r="L853" s="23"/>
      <c r="M853" s="23"/>
    </row>
    <row r="854">
      <c r="B854" s="27"/>
      <c r="C854" s="27"/>
      <c r="D854" s="23"/>
      <c r="E854" s="23"/>
      <c r="K854" s="23"/>
      <c r="L854" s="23"/>
      <c r="M854" s="23"/>
    </row>
    <row r="855">
      <c r="B855" s="27"/>
      <c r="C855" s="27"/>
      <c r="D855" s="23"/>
      <c r="E855" s="23"/>
      <c r="K855" s="23"/>
      <c r="L855" s="23"/>
      <c r="M855" s="23"/>
    </row>
    <row r="856">
      <c r="B856" s="27"/>
      <c r="C856" s="27"/>
      <c r="D856" s="23"/>
      <c r="E856" s="23"/>
      <c r="K856" s="23"/>
      <c r="L856" s="23"/>
      <c r="M856" s="23"/>
    </row>
    <row r="857">
      <c r="B857" s="27"/>
      <c r="C857" s="27"/>
      <c r="D857" s="23"/>
      <c r="E857" s="23"/>
      <c r="K857" s="23"/>
      <c r="L857" s="23"/>
      <c r="M857" s="23"/>
    </row>
    <row r="858">
      <c r="B858" s="27"/>
      <c r="C858" s="27"/>
      <c r="D858" s="23"/>
      <c r="E858" s="23"/>
      <c r="K858" s="23"/>
      <c r="L858" s="23"/>
      <c r="M858" s="23"/>
    </row>
    <row r="859">
      <c r="B859" s="27"/>
      <c r="C859" s="27"/>
      <c r="D859" s="23"/>
      <c r="E859" s="23"/>
      <c r="K859" s="23"/>
      <c r="L859" s="23"/>
      <c r="M859" s="23"/>
    </row>
    <row r="860">
      <c r="B860" s="27"/>
      <c r="C860" s="27"/>
      <c r="D860" s="23"/>
      <c r="E860" s="23"/>
      <c r="K860" s="23"/>
      <c r="L860" s="23"/>
      <c r="M860" s="23"/>
    </row>
    <row r="861">
      <c r="B861" s="27"/>
      <c r="C861" s="27"/>
      <c r="D861" s="23"/>
      <c r="E861" s="23"/>
      <c r="K861" s="23"/>
      <c r="L861" s="23"/>
      <c r="M861" s="23"/>
    </row>
    <row r="862">
      <c r="B862" s="27"/>
      <c r="C862" s="27"/>
      <c r="D862" s="23"/>
      <c r="E862" s="23"/>
      <c r="K862" s="23"/>
      <c r="L862" s="23"/>
      <c r="M862" s="23"/>
    </row>
    <row r="863">
      <c r="B863" s="27"/>
      <c r="C863" s="27"/>
      <c r="D863" s="23"/>
      <c r="E863" s="23"/>
      <c r="K863" s="23"/>
      <c r="L863" s="23"/>
      <c r="M863" s="23"/>
    </row>
    <row r="864">
      <c r="B864" s="27"/>
      <c r="C864" s="27"/>
      <c r="D864" s="23"/>
      <c r="E864" s="23"/>
      <c r="K864" s="23"/>
      <c r="L864" s="23"/>
      <c r="M864" s="23"/>
    </row>
    <row r="865">
      <c r="B865" s="27"/>
      <c r="C865" s="27"/>
      <c r="D865" s="23"/>
      <c r="E865" s="23"/>
      <c r="K865" s="23"/>
      <c r="L865" s="23"/>
      <c r="M865" s="23"/>
    </row>
    <row r="866">
      <c r="B866" s="27"/>
      <c r="C866" s="27"/>
      <c r="D866" s="23"/>
      <c r="E866" s="23"/>
      <c r="K866" s="23"/>
      <c r="L866" s="23"/>
      <c r="M866" s="23"/>
    </row>
    <row r="867">
      <c r="B867" s="27"/>
      <c r="C867" s="27"/>
      <c r="D867" s="23"/>
      <c r="E867" s="23"/>
      <c r="K867" s="23"/>
      <c r="L867" s="23"/>
      <c r="M867" s="23"/>
    </row>
    <row r="868">
      <c r="B868" s="27"/>
      <c r="C868" s="27"/>
      <c r="D868" s="23"/>
      <c r="E868" s="23"/>
      <c r="K868" s="23"/>
      <c r="L868" s="23"/>
      <c r="M868" s="23"/>
    </row>
    <row r="869">
      <c r="B869" s="27"/>
      <c r="C869" s="27"/>
      <c r="D869" s="23"/>
      <c r="E869" s="23"/>
      <c r="K869" s="23"/>
      <c r="L869" s="23"/>
      <c r="M869" s="23"/>
    </row>
    <row r="870">
      <c r="B870" s="27"/>
      <c r="C870" s="27"/>
      <c r="D870" s="23"/>
      <c r="E870" s="23"/>
      <c r="K870" s="23"/>
      <c r="L870" s="23"/>
      <c r="M870" s="23"/>
    </row>
    <row r="871">
      <c r="B871" s="27"/>
      <c r="C871" s="27"/>
      <c r="D871" s="23"/>
      <c r="E871" s="23"/>
      <c r="K871" s="23"/>
      <c r="L871" s="23"/>
      <c r="M871" s="23"/>
    </row>
    <row r="872">
      <c r="B872" s="27"/>
      <c r="C872" s="27"/>
      <c r="D872" s="23"/>
      <c r="E872" s="23"/>
      <c r="K872" s="23"/>
      <c r="L872" s="23"/>
      <c r="M872" s="23"/>
    </row>
    <row r="873">
      <c r="B873" s="27"/>
      <c r="C873" s="27"/>
      <c r="D873" s="23"/>
      <c r="E873" s="23"/>
      <c r="K873" s="23"/>
      <c r="L873" s="23"/>
      <c r="M873" s="23"/>
    </row>
    <row r="874">
      <c r="B874" s="27"/>
      <c r="C874" s="27"/>
      <c r="D874" s="23"/>
      <c r="E874" s="23"/>
      <c r="K874" s="23"/>
      <c r="L874" s="23"/>
      <c r="M874" s="23"/>
    </row>
    <row r="875">
      <c r="B875" s="27"/>
      <c r="C875" s="27"/>
      <c r="D875" s="23"/>
      <c r="E875" s="23"/>
      <c r="K875" s="23"/>
      <c r="L875" s="23"/>
      <c r="M875" s="23"/>
    </row>
    <row r="876">
      <c r="B876" s="27"/>
      <c r="C876" s="27"/>
      <c r="D876" s="23"/>
      <c r="E876" s="23"/>
      <c r="K876" s="23"/>
      <c r="L876" s="23"/>
      <c r="M876" s="23"/>
    </row>
    <row r="877">
      <c r="B877" s="27"/>
      <c r="C877" s="27"/>
      <c r="D877" s="23"/>
      <c r="E877" s="23"/>
      <c r="K877" s="23"/>
      <c r="L877" s="23"/>
      <c r="M877" s="23"/>
    </row>
    <row r="878">
      <c r="B878" s="27"/>
      <c r="C878" s="27"/>
      <c r="D878" s="23"/>
      <c r="E878" s="23"/>
      <c r="K878" s="23"/>
      <c r="L878" s="23"/>
      <c r="M878" s="23"/>
    </row>
    <row r="879">
      <c r="B879" s="27"/>
      <c r="C879" s="27"/>
      <c r="D879" s="23"/>
      <c r="E879" s="23"/>
      <c r="K879" s="23"/>
      <c r="L879" s="23"/>
      <c r="M879" s="23"/>
    </row>
    <row r="880">
      <c r="B880" s="27"/>
      <c r="C880" s="27"/>
      <c r="D880" s="23"/>
      <c r="E880" s="23"/>
      <c r="K880" s="23"/>
      <c r="L880" s="23"/>
      <c r="M880" s="23"/>
    </row>
    <row r="881">
      <c r="B881" s="27"/>
      <c r="C881" s="27"/>
      <c r="D881" s="23"/>
      <c r="E881" s="23"/>
      <c r="K881" s="23"/>
      <c r="L881" s="23"/>
      <c r="M881" s="23"/>
    </row>
    <row r="882">
      <c r="B882" s="27"/>
      <c r="C882" s="27"/>
      <c r="D882" s="23"/>
      <c r="E882" s="23"/>
      <c r="K882" s="23"/>
      <c r="L882" s="23"/>
      <c r="M882" s="23"/>
    </row>
    <row r="883">
      <c r="B883" s="27"/>
      <c r="C883" s="27"/>
      <c r="D883" s="23"/>
      <c r="E883" s="23"/>
      <c r="K883" s="23"/>
      <c r="L883" s="23"/>
      <c r="M883" s="23"/>
    </row>
    <row r="884">
      <c r="B884" s="27"/>
      <c r="C884" s="27"/>
      <c r="D884" s="23"/>
      <c r="E884" s="23"/>
      <c r="K884" s="23"/>
      <c r="L884" s="23"/>
      <c r="M884" s="23"/>
    </row>
    <row r="885">
      <c r="B885" s="27"/>
      <c r="C885" s="27"/>
      <c r="D885" s="23"/>
      <c r="E885" s="23"/>
      <c r="K885" s="23"/>
      <c r="L885" s="23"/>
      <c r="M885" s="23"/>
    </row>
    <row r="886">
      <c r="B886" s="27"/>
      <c r="C886" s="27"/>
      <c r="D886" s="23"/>
      <c r="E886" s="23"/>
      <c r="K886" s="23"/>
      <c r="L886" s="23"/>
      <c r="M886" s="23"/>
    </row>
    <row r="887">
      <c r="B887" s="27"/>
      <c r="C887" s="27"/>
      <c r="D887" s="23"/>
      <c r="E887" s="23"/>
      <c r="K887" s="23"/>
      <c r="L887" s="23"/>
      <c r="M887" s="23"/>
    </row>
    <row r="888">
      <c r="B888" s="27"/>
      <c r="C888" s="27"/>
      <c r="D888" s="23"/>
      <c r="E888" s="23"/>
      <c r="K888" s="23"/>
      <c r="L888" s="23"/>
      <c r="M888" s="23"/>
    </row>
    <row r="889">
      <c r="B889" s="27"/>
      <c r="C889" s="27"/>
      <c r="D889" s="23"/>
      <c r="E889" s="23"/>
      <c r="K889" s="23"/>
      <c r="L889" s="23"/>
      <c r="M889" s="23"/>
    </row>
    <row r="890">
      <c r="B890" s="27"/>
      <c r="C890" s="27"/>
      <c r="D890" s="23"/>
      <c r="E890" s="23"/>
      <c r="K890" s="23"/>
      <c r="L890" s="23"/>
      <c r="M890" s="23"/>
    </row>
    <row r="891">
      <c r="B891" s="27"/>
      <c r="C891" s="27"/>
      <c r="D891" s="23"/>
      <c r="E891" s="23"/>
      <c r="K891" s="23"/>
      <c r="L891" s="23"/>
      <c r="M891" s="23"/>
    </row>
    <row r="892">
      <c r="B892" s="27"/>
      <c r="C892" s="27"/>
      <c r="D892" s="23"/>
      <c r="E892" s="23"/>
      <c r="K892" s="23"/>
      <c r="L892" s="23"/>
      <c r="M892" s="23"/>
    </row>
    <row r="893">
      <c r="B893" s="27"/>
      <c r="C893" s="27"/>
      <c r="D893" s="23"/>
      <c r="E893" s="23"/>
      <c r="K893" s="23"/>
      <c r="L893" s="23"/>
      <c r="M893" s="23"/>
    </row>
    <row r="894">
      <c r="B894" s="27"/>
      <c r="C894" s="27"/>
      <c r="D894" s="23"/>
      <c r="E894" s="23"/>
      <c r="K894" s="23"/>
      <c r="L894" s="23"/>
      <c r="M894" s="23"/>
    </row>
    <row r="895">
      <c r="B895" s="27"/>
      <c r="C895" s="27"/>
      <c r="D895" s="23"/>
      <c r="E895" s="23"/>
      <c r="K895" s="23"/>
      <c r="L895" s="23"/>
      <c r="M895" s="23"/>
    </row>
    <row r="896">
      <c r="B896" s="27"/>
      <c r="C896" s="27"/>
      <c r="D896" s="23"/>
      <c r="E896" s="23"/>
      <c r="K896" s="23"/>
      <c r="L896" s="23"/>
      <c r="M896" s="23"/>
    </row>
    <row r="897">
      <c r="B897" s="27"/>
      <c r="C897" s="27"/>
      <c r="D897" s="23"/>
      <c r="E897" s="23"/>
      <c r="K897" s="23"/>
      <c r="L897" s="23"/>
      <c r="M897" s="23"/>
    </row>
    <row r="898">
      <c r="B898" s="27"/>
      <c r="C898" s="27"/>
      <c r="D898" s="23"/>
      <c r="E898" s="23"/>
      <c r="K898" s="23"/>
      <c r="L898" s="23"/>
      <c r="M898" s="23"/>
    </row>
    <row r="899">
      <c r="B899" s="27"/>
      <c r="C899" s="27"/>
      <c r="D899" s="23"/>
      <c r="E899" s="23"/>
      <c r="K899" s="23"/>
      <c r="L899" s="23"/>
      <c r="M899" s="23"/>
    </row>
    <row r="900">
      <c r="B900" s="27"/>
      <c r="C900" s="27"/>
      <c r="D900" s="23"/>
      <c r="E900" s="23"/>
      <c r="K900" s="23"/>
      <c r="L900" s="23"/>
      <c r="M900" s="23"/>
    </row>
    <row r="901">
      <c r="B901" s="27"/>
      <c r="C901" s="27"/>
      <c r="D901" s="23"/>
      <c r="E901" s="23"/>
      <c r="K901" s="23"/>
      <c r="L901" s="23"/>
      <c r="M901" s="23"/>
    </row>
    <row r="902">
      <c r="B902" s="27"/>
      <c r="C902" s="27"/>
      <c r="D902" s="23"/>
      <c r="E902" s="23"/>
      <c r="K902" s="23"/>
      <c r="L902" s="23"/>
      <c r="M902" s="23"/>
    </row>
    <row r="903">
      <c r="B903" s="27"/>
      <c r="C903" s="27"/>
      <c r="D903" s="23"/>
      <c r="E903" s="23"/>
      <c r="K903" s="23"/>
      <c r="L903" s="23"/>
      <c r="M903" s="23"/>
    </row>
    <row r="904">
      <c r="B904" s="27"/>
      <c r="C904" s="27"/>
      <c r="D904" s="23"/>
      <c r="E904" s="23"/>
      <c r="K904" s="23"/>
      <c r="L904" s="23"/>
      <c r="M904" s="23"/>
    </row>
    <row r="905">
      <c r="B905" s="27"/>
      <c r="C905" s="27"/>
      <c r="D905" s="23"/>
      <c r="E905" s="23"/>
      <c r="K905" s="23"/>
      <c r="L905" s="23"/>
      <c r="M905" s="23"/>
    </row>
    <row r="906">
      <c r="B906" s="27"/>
      <c r="C906" s="27"/>
      <c r="D906" s="23"/>
      <c r="E906" s="23"/>
      <c r="K906" s="23"/>
      <c r="L906" s="23"/>
      <c r="M906" s="23"/>
    </row>
    <row r="907">
      <c r="B907" s="27"/>
      <c r="C907" s="27"/>
      <c r="D907" s="23"/>
      <c r="E907" s="23"/>
      <c r="K907" s="23"/>
      <c r="L907" s="23"/>
      <c r="M907" s="23"/>
    </row>
    <row r="908">
      <c r="B908" s="27"/>
      <c r="C908" s="27"/>
      <c r="D908" s="23"/>
      <c r="E908" s="23"/>
      <c r="K908" s="23"/>
      <c r="L908" s="23"/>
      <c r="M908" s="23"/>
    </row>
    <row r="909">
      <c r="B909" s="27"/>
      <c r="C909" s="27"/>
      <c r="D909" s="23"/>
      <c r="E909" s="23"/>
      <c r="K909" s="23"/>
      <c r="L909" s="23"/>
      <c r="M909" s="23"/>
    </row>
    <row r="910">
      <c r="B910" s="27"/>
      <c r="C910" s="27"/>
      <c r="D910" s="23"/>
      <c r="E910" s="23"/>
      <c r="K910" s="23"/>
      <c r="L910" s="23"/>
      <c r="M910" s="23"/>
    </row>
    <row r="911">
      <c r="B911" s="27"/>
      <c r="C911" s="27"/>
      <c r="D911" s="23"/>
      <c r="E911" s="23"/>
      <c r="K911" s="23"/>
      <c r="L911" s="23"/>
      <c r="M911" s="23"/>
    </row>
    <row r="912">
      <c r="B912" s="27"/>
      <c r="C912" s="27"/>
      <c r="D912" s="23"/>
      <c r="E912" s="23"/>
      <c r="K912" s="23"/>
      <c r="L912" s="23"/>
      <c r="M912" s="23"/>
    </row>
    <row r="913">
      <c r="B913" s="27"/>
      <c r="C913" s="27"/>
      <c r="D913" s="23"/>
      <c r="E913" s="23"/>
      <c r="K913" s="23"/>
      <c r="L913" s="23"/>
      <c r="M913" s="23"/>
    </row>
    <row r="914">
      <c r="B914" s="27"/>
      <c r="C914" s="27"/>
      <c r="D914" s="23"/>
      <c r="E914" s="23"/>
      <c r="K914" s="23"/>
      <c r="L914" s="23"/>
      <c r="M914" s="23"/>
    </row>
    <row r="915">
      <c r="B915" s="27"/>
      <c r="C915" s="27"/>
      <c r="D915" s="23"/>
      <c r="E915" s="23"/>
      <c r="K915" s="23"/>
      <c r="L915" s="23"/>
      <c r="M915" s="23"/>
    </row>
    <row r="916">
      <c r="B916" s="27"/>
      <c r="C916" s="27"/>
      <c r="D916" s="23"/>
      <c r="E916" s="23"/>
      <c r="K916" s="23"/>
      <c r="L916" s="23"/>
      <c r="M916" s="23"/>
    </row>
    <row r="917">
      <c r="B917" s="27"/>
      <c r="C917" s="27"/>
      <c r="D917" s="23"/>
      <c r="E917" s="23"/>
      <c r="K917" s="23"/>
      <c r="L917" s="23"/>
      <c r="M917" s="23"/>
    </row>
    <row r="918">
      <c r="B918" s="27"/>
      <c r="C918" s="27"/>
      <c r="D918" s="23"/>
      <c r="E918" s="23"/>
      <c r="K918" s="23"/>
      <c r="L918" s="23"/>
      <c r="M918" s="23"/>
    </row>
    <row r="919">
      <c r="B919" s="27"/>
      <c r="C919" s="27"/>
      <c r="D919" s="23"/>
      <c r="E919" s="23"/>
      <c r="K919" s="23"/>
      <c r="L919" s="23"/>
      <c r="M919" s="23"/>
    </row>
    <row r="920">
      <c r="B920" s="27"/>
      <c r="C920" s="27"/>
      <c r="D920" s="23"/>
      <c r="E920" s="23"/>
      <c r="K920" s="23"/>
      <c r="L920" s="23"/>
      <c r="M920" s="23"/>
    </row>
    <row r="921">
      <c r="B921" s="27"/>
      <c r="C921" s="27"/>
      <c r="D921" s="23"/>
      <c r="E921" s="23"/>
      <c r="K921" s="23"/>
      <c r="L921" s="23"/>
      <c r="M921" s="23"/>
    </row>
    <row r="922">
      <c r="B922" s="27"/>
      <c r="C922" s="27"/>
      <c r="D922" s="23"/>
      <c r="E922" s="23"/>
      <c r="K922" s="23"/>
      <c r="L922" s="23"/>
      <c r="M922" s="23"/>
    </row>
    <row r="923">
      <c r="B923" s="27"/>
      <c r="C923" s="27"/>
      <c r="D923" s="23"/>
      <c r="E923" s="23"/>
      <c r="K923" s="23"/>
      <c r="L923" s="23"/>
      <c r="M923" s="23"/>
    </row>
    <row r="924">
      <c r="B924" s="27"/>
      <c r="C924" s="27"/>
      <c r="D924" s="23"/>
      <c r="E924" s="23"/>
      <c r="K924" s="23"/>
      <c r="L924" s="23"/>
      <c r="M924" s="23"/>
    </row>
    <row r="925">
      <c r="B925" s="27"/>
      <c r="C925" s="27"/>
      <c r="D925" s="23"/>
      <c r="E925" s="23"/>
      <c r="K925" s="23"/>
      <c r="L925" s="23"/>
      <c r="M925" s="23"/>
    </row>
    <row r="926">
      <c r="B926" s="27"/>
      <c r="C926" s="27"/>
      <c r="D926" s="23"/>
      <c r="E926" s="23"/>
      <c r="K926" s="23"/>
      <c r="L926" s="23"/>
      <c r="M926" s="23"/>
    </row>
    <row r="927">
      <c r="B927" s="27"/>
      <c r="C927" s="27"/>
      <c r="D927" s="23"/>
      <c r="E927" s="23"/>
      <c r="K927" s="23"/>
      <c r="L927" s="23"/>
      <c r="M927" s="23"/>
    </row>
    <row r="928">
      <c r="B928" s="27"/>
      <c r="C928" s="27"/>
      <c r="D928" s="23"/>
      <c r="E928" s="23"/>
      <c r="K928" s="23"/>
      <c r="L928" s="23"/>
      <c r="M928" s="23"/>
    </row>
    <row r="929">
      <c r="B929" s="27"/>
      <c r="C929" s="27"/>
      <c r="D929" s="23"/>
      <c r="E929" s="23"/>
      <c r="K929" s="23"/>
      <c r="L929" s="23"/>
      <c r="M929" s="23"/>
    </row>
    <row r="930">
      <c r="B930" s="27"/>
      <c r="C930" s="27"/>
      <c r="D930" s="23"/>
      <c r="E930" s="23"/>
      <c r="K930" s="23"/>
      <c r="L930" s="23"/>
      <c r="M930" s="23"/>
    </row>
    <row r="931">
      <c r="B931" s="27"/>
      <c r="C931" s="27"/>
      <c r="D931" s="23"/>
      <c r="E931" s="23"/>
      <c r="K931" s="23"/>
      <c r="L931" s="23"/>
      <c r="M931" s="23"/>
    </row>
    <row r="932">
      <c r="B932" s="27"/>
      <c r="C932" s="27"/>
      <c r="D932" s="23"/>
      <c r="E932" s="23"/>
      <c r="K932" s="23"/>
      <c r="L932" s="23"/>
      <c r="M932" s="23"/>
    </row>
    <row r="933">
      <c r="B933" s="27"/>
      <c r="C933" s="27"/>
      <c r="D933" s="23"/>
      <c r="E933" s="23"/>
      <c r="K933" s="23"/>
      <c r="L933" s="23"/>
      <c r="M933" s="23"/>
    </row>
    <row r="934">
      <c r="B934" s="27"/>
      <c r="C934" s="27"/>
      <c r="D934" s="23"/>
      <c r="E934" s="23"/>
      <c r="K934" s="23"/>
      <c r="L934" s="23"/>
      <c r="M934" s="23"/>
    </row>
    <row r="935">
      <c r="B935" s="27"/>
      <c r="C935" s="27"/>
      <c r="D935" s="23"/>
      <c r="E935" s="23"/>
      <c r="K935" s="23"/>
      <c r="L935" s="23"/>
      <c r="M935" s="23"/>
    </row>
    <row r="936">
      <c r="B936" s="27"/>
      <c r="C936" s="27"/>
      <c r="D936" s="23"/>
      <c r="E936" s="23"/>
      <c r="K936" s="23"/>
      <c r="L936" s="23"/>
      <c r="M936" s="23"/>
    </row>
    <row r="937">
      <c r="B937" s="27"/>
      <c r="C937" s="27"/>
      <c r="D937" s="23"/>
      <c r="E937" s="23"/>
      <c r="K937" s="23"/>
      <c r="L937" s="23"/>
      <c r="M937" s="23"/>
    </row>
    <row r="938">
      <c r="B938" s="27"/>
      <c r="C938" s="27"/>
      <c r="D938" s="23"/>
      <c r="E938" s="23"/>
      <c r="K938" s="23"/>
      <c r="L938" s="23"/>
      <c r="M938" s="23"/>
    </row>
    <row r="939">
      <c r="B939" s="27"/>
      <c r="C939" s="27"/>
      <c r="D939" s="23"/>
      <c r="E939" s="23"/>
      <c r="K939" s="23"/>
      <c r="L939" s="23"/>
      <c r="M939" s="23"/>
    </row>
    <row r="940">
      <c r="B940" s="27"/>
      <c r="C940" s="27"/>
      <c r="D940" s="23"/>
      <c r="E940" s="23"/>
      <c r="K940" s="23"/>
      <c r="L940" s="23"/>
      <c r="M940" s="23"/>
    </row>
    <row r="941">
      <c r="B941" s="27"/>
      <c r="C941" s="27"/>
      <c r="D941" s="23"/>
      <c r="E941" s="23"/>
      <c r="K941" s="23"/>
      <c r="L941" s="23"/>
      <c r="M941" s="23"/>
    </row>
    <row r="942">
      <c r="B942" s="27"/>
      <c r="C942" s="27"/>
      <c r="D942" s="23"/>
      <c r="E942" s="23"/>
      <c r="K942" s="23"/>
      <c r="L942" s="23"/>
      <c r="M942" s="23"/>
    </row>
    <row r="943">
      <c r="B943" s="27"/>
      <c r="C943" s="27"/>
      <c r="D943" s="23"/>
      <c r="E943" s="23"/>
      <c r="K943" s="23"/>
      <c r="L943" s="23"/>
      <c r="M943" s="23"/>
    </row>
    <row r="944">
      <c r="B944" s="27"/>
      <c r="C944" s="27"/>
      <c r="D944" s="23"/>
      <c r="E944" s="23"/>
      <c r="K944" s="23"/>
      <c r="L944" s="23"/>
      <c r="M944" s="23"/>
    </row>
    <row r="945">
      <c r="B945" s="27"/>
      <c r="C945" s="27"/>
      <c r="D945" s="23"/>
      <c r="E945" s="23"/>
      <c r="K945" s="23"/>
      <c r="L945" s="23"/>
      <c r="M945" s="23"/>
    </row>
    <row r="946">
      <c r="B946" s="27"/>
      <c r="C946" s="27"/>
      <c r="D946" s="23"/>
      <c r="E946" s="23"/>
      <c r="K946" s="23"/>
      <c r="L946" s="23"/>
      <c r="M946" s="23"/>
    </row>
    <row r="947">
      <c r="B947" s="27"/>
      <c r="C947" s="27"/>
      <c r="D947" s="23"/>
      <c r="E947" s="23"/>
      <c r="K947" s="23"/>
      <c r="L947" s="23"/>
      <c r="M947" s="23"/>
    </row>
    <row r="948">
      <c r="B948" s="27"/>
      <c r="C948" s="27"/>
      <c r="D948" s="23"/>
      <c r="E948" s="23"/>
      <c r="K948" s="23"/>
      <c r="L948" s="23"/>
      <c r="M948" s="23"/>
    </row>
    <row r="949">
      <c r="B949" s="27"/>
      <c r="C949" s="27"/>
      <c r="D949" s="23"/>
      <c r="E949" s="23"/>
      <c r="K949" s="23"/>
      <c r="L949" s="23"/>
      <c r="M949" s="23"/>
    </row>
    <row r="950">
      <c r="B950" s="27"/>
      <c r="C950" s="27"/>
      <c r="D950" s="23"/>
      <c r="E950" s="23"/>
      <c r="K950" s="23"/>
      <c r="L950" s="23"/>
      <c r="M950" s="23"/>
    </row>
    <row r="951">
      <c r="B951" s="27"/>
      <c r="C951" s="27"/>
      <c r="D951" s="23"/>
      <c r="E951" s="23"/>
      <c r="K951" s="23"/>
      <c r="L951" s="23"/>
      <c r="M951" s="23"/>
    </row>
    <row r="952">
      <c r="B952" s="27"/>
      <c r="C952" s="27"/>
      <c r="D952" s="23"/>
      <c r="E952" s="23"/>
      <c r="K952" s="23"/>
      <c r="L952" s="23"/>
      <c r="M952" s="23"/>
    </row>
    <row r="953">
      <c r="B953" s="27"/>
      <c r="C953" s="27"/>
      <c r="D953" s="23"/>
      <c r="E953" s="23"/>
      <c r="K953" s="23"/>
      <c r="L953" s="23"/>
      <c r="M953" s="23"/>
    </row>
    <row r="954">
      <c r="B954" s="27"/>
      <c r="C954" s="27"/>
      <c r="D954" s="23"/>
      <c r="E954" s="23"/>
      <c r="K954" s="23"/>
      <c r="L954" s="23"/>
      <c r="M954" s="23"/>
    </row>
    <row r="955">
      <c r="B955" s="27"/>
      <c r="C955" s="27"/>
      <c r="D955" s="23"/>
      <c r="E955" s="23"/>
      <c r="K955" s="23"/>
      <c r="L955" s="23"/>
      <c r="M955" s="23"/>
    </row>
    <row r="956">
      <c r="B956" s="27"/>
      <c r="C956" s="27"/>
      <c r="D956" s="23"/>
      <c r="E956" s="23"/>
      <c r="K956" s="23"/>
      <c r="L956" s="23"/>
      <c r="M956" s="23"/>
    </row>
    <row r="957">
      <c r="B957" s="27"/>
      <c r="C957" s="27"/>
      <c r="D957" s="23"/>
      <c r="E957" s="23"/>
      <c r="K957" s="23"/>
      <c r="L957" s="23"/>
      <c r="M957" s="23"/>
    </row>
    <row r="958">
      <c r="B958" s="27"/>
      <c r="C958" s="27"/>
      <c r="D958" s="23"/>
      <c r="E958" s="23"/>
      <c r="K958" s="23"/>
      <c r="L958" s="23"/>
      <c r="M958" s="23"/>
    </row>
    <row r="959">
      <c r="B959" s="27"/>
      <c r="C959" s="27"/>
      <c r="D959" s="23"/>
      <c r="E959" s="23"/>
      <c r="K959" s="23"/>
      <c r="L959" s="23"/>
      <c r="M959" s="23"/>
    </row>
    <row r="960">
      <c r="B960" s="27"/>
      <c r="C960" s="27"/>
      <c r="D960" s="23"/>
      <c r="E960" s="23"/>
      <c r="K960" s="23"/>
      <c r="L960" s="23"/>
      <c r="M960" s="23"/>
    </row>
    <row r="961">
      <c r="B961" s="27"/>
      <c r="C961" s="27"/>
      <c r="D961" s="23"/>
      <c r="E961" s="23"/>
      <c r="K961" s="23"/>
      <c r="L961" s="23"/>
      <c r="M961" s="23"/>
    </row>
    <row r="962">
      <c r="B962" s="27"/>
      <c r="C962" s="27"/>
      <c r="D962" s="23"/>
      <c r="E962" s="23"/>
      <c r="K962" s="23"/>
      <c r="L962" s="23"/>
      <c r="M962" s="23"/>
    </row>
    <row r="963">
      <c r="B963" s="27"/>
      <c r="C963" s="27"/>
      <c r="D963" s="23"/>
      <c r="E963" s="23"/>
      <c r="K963" s="23"/>
      <c r="L963" s="23"/>
      <c r="M963" s="23"/>
    </row>
    <row r="964">
      <c r="B964" s="27"/>
      <c r="C964" s="27"/>
      <c r="D964" s="23"/>
      <c r="E964" s="23"/>
      <c r="K964" s="23"/>
      <c r="L964" s="23"/>
      <c r="M964" s="23"/>
    </row>
    <row r="965">
      <c r="B965" s="27"/>
      <c r="C965" s="27"/>
      <c r="D965" s="23"/>
      <c r="E965" s="23"/>
      <c r="K965" s="23"/>
      <c r="L965" s="23"/>
      <c r="M965" s="23"/>
    </row>
    <row r="966">
      <c r="B966" s="27"/>
      <c r="C966" s="27"/>
      <c r="D966" s="23"/>
      <c r="E966" s="23"/>
      <c r="K966" s="23"/>
      <c r="L966" s="23"/>
      <c r="M966" s="23"/>
    </row>
    <row r="967">
      <c r="B967" s="27"/>
      <c r="C967" s="27"/>
      <c r="D967" s="23"/>
      <c r="E967" s="23"/>
      <c r="K967" s="23"/>
      <c r="L967" s="23"/>
      <c r="M967" s="23"/>
    </row>
    <row r="968">
      <c r="B968" s="27"/>
      <c r="C968" s="27"/>
      <c r="D968" s="23"/>
      <c r="E968" s="23"/>
      <c r="K968" s="23"/>
      <c r="L968" s="23"/>
      <c r="M968" s="23"/>
    </row>
    <row r="969">
      <c r="B969" s="27"/>
      <c r="C969" s="27"/>
      <c r="D969" s="23"/>
      <c r="E969" s="23"/>
      <c r="K969" s="23"/>
      <c r="L969" s="23"/>
      <c r="M969" s="23"/>
    </row>
    <row r="970">
      <c r="B970" s="27"/>
      <c r="C970" s="27"/>
      <c r="D970" s="23"/>
      <c r="E970" s="23"/>
      <c r="K970" s="23"/>
      <c r="L970" s="23"/>
      <c r="M970" s="23"/>
    </row>
    <row r="971">
      <c r="B971" s="27"/>
      <c r="C971" s="27"/>
      <c r="D971" s="23"/>
      <c r="E971" s="23"/>
      <c r="K971" s="23"/>
      <c r="L971" s="23"/>
      <c r="M971" s="23"/>
    </row>
    <row r="972">
      <c r="B972" s="27"/>
      <c r="C972" s="27"/>
      <c r="D972" s="23"/>
      <c r="E972" s="23"/>
      <c r="K972" s="23"/>
      <c r="L972" s="23"/>
      <c r="M972" s="23"/>
    </row>
    <row r="973">
      <c r="B973" s="27"/>
      <c r="C973" s="27"/>
      <c r="D973" s="23"/>
      <c r="E973" s="23"/>
      <c r="K973" s="23"/>
      <c r="L973" s="23"/>
      <c r="M973" s="23"/>
    </row>
    <row r="974">
      <c r="B974" s="27"/>
      <c r="C974" s="27"/>
      <c r="D974" s="23"/>
      <c r="E974" s="23"/>
      <c r="K974" s="23"/>
      <c r="L974" s="23"/>
      <c r="M974" s="23"/>
    </row>
    <row r="975">
      <c r="B975" s="27"/>
      <c r="C975" s="27"/>
      <c r="D975" s="23"/>
      <c r="E975" s="23"/>
      <c r="K975" s="23"/>
      <c r="L975" s="23"/>
      <c r="M975" s="23"/>
    </row>
    <row r="976">
      <c r="B976" s="27"/>
      <c r="C976" s="27"/>
      <c r="D976" s="23"/>
      <c r="E976" s="23"/>
      <c r="K976" s="23"/>
      <c r="L976" s="23"/>
      <c r="M976" s="23"/>
    </row>
    <row r="977">
      <c r="B977" s="27"/>
      <c r="C977" s="27"/>
      <c r="D977" s="23"/>
      <c r="E977" s="23"/>
      <c r="K977" s="23"/>
      <c r="L977" s="23"/>
      <c r="M977" s="23"/>
    </row>
    <row r="978">
      <c r="B978" s="27"/>
      <c r="C978" s="27"/>
      <c r="D978" s="23"/>
      <c r="E978" s="23"/>
      <c r="K978" s="23"/>
      <c r="L978" s="23"/>
      <c r="M978" s="23"/>
    </row>
    <row r="979">
      <c r="B979" s="27"/>
      <c r="C979" s="27"/>
      <c r="D979" s="23"/>
      <c r="E979" s="23"/>
      <c r="K979" s="23"/>
      <c r="L979" s="23"/>
      <c r="M979" s="23"/>
    </row>
    <row r="980">
      <c r="B980" s="27"/>
      <c r="C980" s="27"/>
      <c r="D980" s="23"/>
      <c r="E980" s="23"/>
      <c r="K980" s="23"/>
      <c r="L980" s="23"/>
      <c r="M980" s="23"/>
    </row>
    <row r="981">
      <c r="B981" s="27"/>
      <c r="C981" s="27"/>
      <c r="D981" s="23"/>
      <c r="E981" s="23"/>
      <c r="K981" s="23"/>
      <c r="L981" s="23"/>
      <c r="M981" s="23"/>
    </row>
    <row r="982">
      <c r="B982" s="27"/>
      <c r="C982" s="27"/>
      <c r="D982" s="23"/>
      <c r="E982" s="23"/>
      <c r="K982" s="23"/>
      <c r="L982" s="23"/>
      <c r="M982" s="23"/>
    </row>
    <row r="983">
      <c r="B983" s="27"/>
      <c r="C983" s="27"/>
      <c r="D983" s="23"/>
      <c r="E983" s="23"/>
      <c r="K983" s="23"/>
      <c r="L983" s="23"/>
      <c r="M983" s="23"/>
    </row>
    <row r="984">
      <c r="B984" s="27"/>
      <c r="C984" s="27"/>
      <c r="D984" s="23"/>
      <c r="E984" s="23"/>
      <c r="K984" s="23"/>
      <c r="L984" s="23"/>
      <c r="M984" s="23"/>
    </row>
    <row r="985">
      <c r="B985" s="27"/>
      <c r="C985" s="27"/>
      <c r="D985" s="23"/>
      <c r="E985" s="23"/>
      <c r="K985" s="23"/>
      <c r="L985" s="23"/>
      <c r="M985" s="23"/>
    </row>
    <row r="986">
      <c r="B986" s="27"/>
      <c r="C986" s="27"/>
      <c r="D986" s="23"/>
      <c r="E986" s="23"/>
      <c r="K986" s="23"/>
      <c r="L986" s="23"/>
      <c r="M986" s="23"/>
    </row>
    <row r="987">
      <c r="B987" s="27"/>
      <c r="C987" s="27"/>
      <c r="D987" s="23"/>
      <c r="E987" s="23"/>
      <c r="K987" s="23"/>
      <c r="L987" s="23"/>
      <c r="M987" s="23"/>
    </row>
    <row r="988">
      <c r="B988" s="27"/>
      <c r="C988" s="27"/>
      <c r="D988" s="23"/>
      <c r="E988" s="23"/>
      <c r="K988" s="23"/>
      <c r="L988" s="23"/>
      <c r="M988" s="23"/>
    </row>
    <row r="989">
      <c r="B989" s="27"/>
      <c r="C989" s="27"/>
      <c r="D989" s="23"/>
      <c r="E989" s="23"/>
      <c r="K989" s="23"/>
      <c r="L989" s="23"/>
      <c r="M989" s="23"/>
    </row>
    <row r="990">
      <c r="B990" s="27"/>
      <c r="C990" s="27"/>
      <c r="D990" s="23"/>
      <c r="E990" s="23"/>
      <c r="K990" s="23"/>
      <c r="L990" s="23"/>
      <c r="M990" s="23"/>
    </row>
    <row r="991">
      <c r="B991" s="27"/>
      <c r="C991" s="27"/>
      <c r="D991" s="23"/>
      <c r="E991" s="23"/>
      <c r="K991" s="23"/>
      <c r="L991" s="23"/>
      <c r="M991" s="23"/>
    </row>
    <row r="992">
      <c r="B992" s="27"/>
      <c r="C992" s="27"/>
      <c r="D992" s="23"/>
      <c r="E992" s="23"/>
      <c r="K992" s="23"/>
      <c r="L992" s="23"/>
      <c r="M992" s="23"/>
    </row>
    <row r="993">
      <c r="B993" s="27"/>
      <c r="C993" s="27"/>
      <c r="D993" s="23"/>
      <c r="E993" s="23"/>
      <c r="K993" s="23"/>
      <c r="L993" s="23"/>
      <c r="M993" s="23"/>
    </row>
    <row r="994">
      <c r="B994" s="27"/>
      <c r="C994" s="27"/>
      <c r="D994" s="23"/>
      <c r="E994" s="23"/>
      <c r="K994" s="23"/>
      <c r="L994" s="23"/>
      <c r="M994" s="23"/>
    </row>
    <row r="995">
      <c r="B995" s="27"/>
      <c r="C995" s="27"/>
      <c r="D995" s="23"/>
      <c r="E995" s="23"/>
      <c r="K995" s="23"/>
      <c r="L995" s="23"/>
      <c r="M995" s="23"/>
    </row>
    <row r="996">
      <c r="B996" s="27"/>
      <c r="C996" s="27"/>
      <c r="D996" s="23"/>
      <c r="E996" s="23"/>
      <c r="K996" s="23"/>
      <c r="L996" s="23"/>
      <c r="M996" s="23"/>
    </row>
    <row r="997">
      <c r="B997" s="27"/>
      <c r="C997" s="27"/>
      <c r="D997" s="23"/>
      <c r="E997" s="23"/>
      <c r="K997" s="23"/>
      <c r="L997" s="23"/>
      <c r="M997" s="23"/>
    </row>
    <row r="998">
      <c r="B998" s="27"/>
      <c r="C998" s="27"/>
      <c r="D998" s="23"/>
      <c r="E998" s="23"/>
      <c r="K998" s="23"/>
      <c r="L998" s="23"/>
      <c r="M998" s="23"/>
    </row>
    <row r="999">
      <c r="B999" s="27"/>
      <c r="C999" s="27"/>
      <c r="D999" s="23"/>
      <c r="E999" s="23"/>
      <c r="K999" s="23"/>
      <c r="L999" s="23"/>
      <c r="M999" s="23"/>
    </row>
    <row r="1000">
      <c r="B1000" s="27"/>
      <c r="C1000" s="27"/>
      <c r="D1000" s="23"/>
      <c r="E1000" s="23"/>
      <c r="K1000" s="23"/>
      <c r="L1000" s="23"/>
      <c r="M1000" s="23"/>
    </row>
    <row r="1001">
      <c r="B1001" s="27"/>
      <c r="C1001" s="27"/>
      <c r="D1001" s="23"/>
      <c r="E1001" s="23"/>
      <c r="K1001" s="23"/>
      <c r="L1001" s="23"/>
      <c r="M1001" s="23"/>
    </row>
    <row r="1002">
      <c r="B1002" s="27"/>
      <c r="C1002" s="27"/>
      <c r="D1002" s="23"/>
      <c r="E1002" s="23"/>
      <c r="K1002" s="23"/>
      <c r="L1002" s="23"/>
      <c r="M1002" s="23"/>
    </row>
    <row r="1003">
      <c r="B1003" s="27"/>
      <c r="C1003" s="27"/>
      <c r="D1003" s="23"/>
      <c r="E1003" s="23"/>
      <c r="K1003" s="23"/>
      <c r="L1003" s="23"/>
      <c r="M1003" s="23"/>
    </row>
    <row r="1004">
      <c r="B1004" s="27"/>
      <c r="C1004" s="27"/>
      <c r="D1004" s="23"/>
      <c r="E1004" s="23"/>
      <c r="K1004" s="23"/>
      <c r="L1004" s="23"/>
      <c r="M1004" s="23"/>
    </row>
    <row r="1005">
      <c r="B1005" s="27"/>
      <c r="C1005" s="27"/>
      <c r="D1005" s="23"/>
      <c r="E1005" s="23"/>
      <c r="K1005" s="23"/>
      <c r="L1005" s="23"/>
      <c r="M1005" s="23"/>
    </row>
    <row r="1006">
      <c r="B1006" s="27"/>
      <c r="C1006" s="27"/>
      <c r="D1006" s="23"/>
      <c r="E1006" s="23"/>
      <c r="K1006" s="23"/>
      <c r="L1006" s="23"/>
      <c r="M1006" s="23"/>
    </row>
    <row r="1007">
      <c r="B1007" s="27"/>
      <c r="C1007" s="27"/>
      <c r="D1007" s="23"/>
      <c r="E1007" s="23"/>
      <c r="K1007" s="23"/>
      <c r="L1007" s="23"/>
      <c r="M1007" s="23"/>
    </row>
    <row r="1008">
      <c r="B1008" s="27"/>
      <c r="C1008" s="27"/>
      <c r="D1008" s="23"/>
      <c r="E1008" s="23"/>
      <c r="K1008" s="23"/>
      <c r="L1008" s="23"/>
      <c r="M1008" s="23"/>
    </row>
    <row r="1009">
      <c r="B1009" s="27"/>
      <c r="C1009" s="27"/>
      <c r="D1009" s="23"/>
      <c r="E1009" s="23"/>
      <c r="K1009" s="23"/>
      <c r="L1009" s="23"/>
      <c r="M1009" s="23"/>
    </row>
    <row r="1010">
      <c r="B1010" s="27"/>
      <c r="C1010" s="27"/>
      <c r="D1010" s="23"/>
      <c r="E1010" s="23"/>
      <c r="K1010" s="23"/>
      <c r="L1010" s="23"/>
      <c r="M1010" s="23"/>
    </row>
    <row r="1011">
      <c r="B1011" s="27"/>
      <c r="C1011" s="27"/>
      <c r="D1011" s="23"/>
      <c r="E1011" s="23"/>
      <c r="K1011" s="23"/>
      <c r="L1011" s="23"/>
      <c r="M1011" s="23"/>
    </row>
    <row r="1012">
      <c r="B1012" s="27"/>
      <c r="C1012" s="27"/>
      <c r="D1012" s="23"/>
      <c r="E1012" s="23"/>
      <c r="K1012" s="23"/>
      <c r="L1012" s="23"/>
      <c r="M1012" s="23"/>
    </row>
    <row r="1013">
      <c r="B1013" s="27"/>
      <c r="C1013" s="27"/>
      <c r="D1013" s="23"/>
      <c r="E1013" s="23"/>
      <c r="K1013" s="23"/>
      <c r="L1013" s="23"/>
      <c r="M1013" s="23"/>
    </row>
    <row r="1014">
      <c r="B1014" s="27"/>
      <c r="C1014" s="27"/>
      <c r="D1014" s="23"/>
      <c r="E1014" s="23"/>
      <c r="K1014" s="23"/>
      <c r="L1014" s="23"/>
      <c r="M1014" s="23"/>
    </row>
    <row r="1015">
      <c r="B1015" s="27"/>
      <c r="C1015" s="27"/>
      <c r="D1015" s="23"/>
      <c r="E1015" s="23"/>
      <c r="K1015" s="23"/>
      <c r="L1015" s="23"/>
      <c r="M1015" s="23"/>
    </row>
    <row r="1016">
      <c r="B1016" s="27"/>
      <c r="C1016" s="27"/>
      <c r="D1016" s="23"/>
      <c r="E1016" s="23"/>
      <c r="K1016" s="23"/>
      <c r="L1016" s="23"/>
      <c r="M1016" s="23"/>
    </row>
    <row r="1017">
      <c r="B1017" s="27"/>
      <c r="C1017" s="27"/>
      <c r="D1017" s="23"/>
      <c r="E1017" s="23"/>
      <c r="K1017" s="23"/>
      <c r="L1017" s="23"/>
      <c r="M1017" s="23"/>
    </row>
    <row r="1018">
      <c r="B1018" s="27"/>
      <c r="C1018" s="27"/>
      <c r="D1018" s="23"/>
      <c r="E1018" s="23"/>
      <c r="K1018" s="23"/>
      <c r="L1018" s="23"/>
      <c r="M1018" s="23"/>
    </row>
    <row r="1019">
      <c r="B1019" s="27"/>
      <c r="C1019" s="27"/>
      <c r="D1019" s="23"/>
      <c r="E1019" s="23"/>
      <c r="K1019" s="23"/>
      <c r="L1019" s="23"/>
      <c r="M1019" s="23"/>
    </row>
    <row r="1020">
      <c r="B1020" s="27"/>
      <c r="C1020" s="27"/>
      <c r="D1020" s="23"/>
      <c r="E1020" s="23"/>
      <c r="K1020" s="23"/>
      <c r="L1020" s="23"/>
      <c r="M1020" s="23"/>
    </row>
    <row r="1021">
      <c r="B1021" s="27"/>
      <c r="C1021" s="27"/>
      <c r="D1021" s="23"/>
      <c r="E1021" s="23"/>
      <c r="K1021" s="23"/>
      <c r="L1021" s="23"/>
      <c r="M1021" s="23"/>
    </row>
    <row r="1022">
      <c r="B1022" s="27"/>
      <c r="C1022" s="27"/>
      <c r="D1022" s="23"/>
      <c r="E1022" s="23"/>
      <c r="K1022" s="23"/>
      <c r="L1022" s="23"/>
      <c r="M1022" s="23"/>
    </row>
    <row r="1023">
      <c r="B1023" s="27"/>
      <c r="C1023" s="27"/>
      <c r="D1023" s="23"/>
      <c r="E1023" s="23"/>
      <c r="K1023" s="23"/>
      <c r="L1023" s="23"/>
      <c r="M1023" s="23"/>
    </row>
    <row r="1024">
      <c r="B1024" s="27"/>
      <c r="C1024" s="27"/>
      <c r="D1024" s="23"/>
      <c r="E1024" s="23"/>
      <c r="K1024" s="23"/>
      <c r="L1024" s="23"/>
      <c r="M1024" s="23"/>
    </row>
    <row r="1025">
      <c r="B1025" s="27"/>
      <c r="C1025" s="27"/>
      <c r="D1025" s="23"/>
      <c r="E1025" s="23"/>
      <c r="K1025" s="23"/>
      <c r="L1025" s="23"/>
      <c r="M1025" s="23"/>
    </row>
    <row r="1026">
      <c r="B1026" s="27"/>
      <c r="C1026" s="27"/>
      <c r="D1026" s="23"/>
      <c r="E1026" s="23"/>
      <c r="K1026" s="23"/>
      <c r="L1026" s="23"/>
      <c r="M1026" s="23"/>
    </row>
    <row r="1027">
      <c r="B1027" s="27"/>
      <c r="C1027" s="27"/>
      <c r="D1027" s="23"/>
      <c r="E1027" s="23"/>
      <c r="K1027" s="23"/>
      <c r="L1027" s="23"/>
      <c r="M1027" s="23"/>
    </row>
    <row r="1028">
      <c r="B1028" s="27"/>
      <c r="C1028" s="27"/>
      <c r="D1028" s="23"/>
      <c r="E1028" s="23"/>
      <c r="K1028" s="23"/>
      <c r="L1028" s="23"/>
      <c r="M1028" s="23"/>
    </row>
    <row r="1029">
      <c r="B1029" s="27"/>
      <c r="C1029" s="27"/>
      <c r="D1029" s="23"/>
      <c r="E1029" s="23"/>
      <c r="K1029" s="23"/>
      <c r="L1029" s="23"/>
      <c r="M1029" s="23"/>
    </row>
    <row r="1030">
      <c r="B1030" s="27"/>
      <c r="C1030" s="27"/>
      <c r="D1030" s="23"/>
      <c r="E1030" s="23"/>
      <c r="K1030" s="23"/>
      <c r="L1030" s="23"/>
      <c r="M1030" s="23"/>
    </row>
    <row r="1031">
      <c r="B1031" s="27"/>
      <c r="C1031" s="27"/>
      <c r="D1031" s="23"/>
      <c r="E1031" s="23"/>
      <c r="K1031" s="23"/>
      <c r="L1031" s="23"/>
      <c r="M1031" s="23"/>
    </row>
    <row r="1032">
      <c r="B1032" s="27"/>
      <c r="C1032" s="27"/>
      <c r="D1032" s="23"/>
      <c r="E1032" s="23"/>
      <c r="K1032" s="23"/>
      <c r="L1032" s="23"/>
      <c r="M1032" s="23"/>
    </row>
    <row r="1033">
      <c r="B1033" s="27"/>
      <c r="C1033" s="27"/>
      <c r="D1033" s="23"/>
      <c r="E1033" s="23"/>
      <c r="K1033" s="23"/>
      <c r="L1033" s="23"/>
      <c r="M1033" s="23"/>
    </row>
    <row r="1034">
      <c r="B1034" s="27"/>
      <c r="C1034" s="27"/>
      <c r="D1034" s="23"/>
      <c r="E1034" s="23"/>
      <c r="K1034" s="23"/>
      <c r="L1034" s="23"/>
      <c r="M1034" s="23"/>
    </row>
    <row r="1035">
      <c r="B1035" s="27"/>
      <c r="C1035" s="27"/>
      <c r="D1035" s="23"/>
      <c r="E1035" s="23"/>
      <c r="K1035" s="23"/>
      <c r="L1035" s="23"/>
      <c r="M1035" s="23"/>
    </row>
    <row r="1036">
      <c r="B1036" s="27"/>
      <c r="C1036" s="27"/>
      <c r="D1036" s="23"/>
      <c r="E1036" s="23"/>
      <c r="K1036" s="23"/>
      <c r="L1036" s="23"/>
      <c r="M1036" s="23"/>
    </row>
    <row r="1037">
      <c r="B1037" s="27"/>
      <c r="C1037" s="27"/>
      <c r="D1037" s="23"/>
      <c r="E1037" s="23"/>
      <c r="K1037" s="23"/>
      <c r="L1037" s="23"/>
      <c r="M1037" s="23"/>
    </row>
    <row r="1038">
      <c r="B1038" s="27"/>
      <c r="C1038" s="27"/>
      <c r="D1038" s="23"/>
      <c r="E1038" s="23"/>
      <c r="K1038" s="23"/>
      <c r="L1038" s="23"/>
      <c r="M1038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5"/>
    <col customWidth="1" min="2" max="2" width="25.25"/>
    <col customWidth="1" min="3" max="3" width="17.13"/>
    <col customWidth="1" min="4" max="4" width="12.13"/>
    <col customWidth="1" min="5" max="5" width="17.13"/>
  </cols>
  <sheetData>
    <row r="1">
      <c r="A1" s="32" t="s">
        <v>2630</v>
      </c>
      <c r="G1" s="28"/>
    </row>
    <row r="2">
      <c r="A2" s="15" t="s">
        <v>2631</v>
      </c>
      <c r="B2" s="15" t="s">
        <v>2632</v>
      </c>
      <c r="C2" s="15" t="s">
        <v>2633</v>
      </c>
      <c r="D2" s="33" t="s">
        <v>2634</v>
      </c>
      <c r="E2" s="15" t="s">
        <v>2635</v>
      </c>
      <c r="F2" s="15" t="s">
        <v>2636</v>
      </c>
      <c r="G2" s="34" t="s">
        <v>2637</v>
      </c>
    </row>
    <row r="3">
      <c r="A3" s="35">
        <v>45585.0</v>
      </c>
      <c r="B3" s="15" t="s">
        <v>64</v>
      </c>
      <c r="C3" s="15" t="s">
        <v>2638</v>
      </c>
      <c r="D3" s="33">
        <v>80000.0</v>
      </c>
      <c r="E3" s="36">
        <f>D12+D24+D37+D54+D79+D100+D128+D154+D190+D223+D260+D285+D315+D344+D389+D443+D476</f>
        <v>58245500</v>
      </c>
      <c r="F3" s="15" t="s">
        <v>2639</v>
      </c>
      <c r="G3" s="28">
        <f>sumif(B3:B517,"spectra dual compact",D3:D637)</f>
        <v>9163000</v>
      </c>
    </row>
    <row r="4">
      <c r="A4" s="37">
        <v>45597.0</v>
      </c>
      <c r="B4" s="15" t="s">
        <v>64</v>
      </c>
      <c r="C4" s="15" t="s">
        <v>2638</v>
      </c>
      <c r="D4" s="33">
        <v>80000.0</v>
      </c>
      <c r="F4" s="15" t="s">
        <v>2640</v>
      </c>
      <c r="G4" s="28">
        <f>sumif(B3:B517,"gabag maximo",D3:D4537)</f>
        <v>3420000</v>
      </c>
    </row>
    <row r="5">
      <c r="A5" s="35">
        <v>45609.0</v>
      </c>
      <c r="B5" s="15" t="s">
        <v>2640</v>
      </c>
      <c r="C5" s="15" t="s">
        <v>2641</v>
      </c>
      <c r="D5" s="33">
        <v>170000.0</v>
      </c>
      <c r="F5" s="15" t="s">
        <v>2642</v>
      </c>
      <c r="G5" s="28">
        <f>sumif(B3:B517,"spectra s1+",D3:D537)</f>
        <v>3580000</v>
      </c>
    </row>
    <row r="6">
      <c r="A6" s="35">
        <v>45609.0</v>
      </c>
      <c r="B6" s="15" t="s">
        <v>2640</v>
      </c>
      <c r="C6" s="15" t="s">
        <v>2638</v>
      </c>
      <c r="D6" s="33">
        <v>60000.0</v>
      </c>
      <c r="F6" s="15" t="s">
        <v>2643</v>
      </c>
      <c r="G6" s="28">
        <f>sumif(B3:B517,"Nevia portable warmer",D3:D517)</f>
        <v>510000</v>
      </c>
    </row>
    <row r="7">
      <c r="A7" s="35">
        <v>45614.0</v>
      </c>
      <c r="B7" s="15" t="s">
        <v>2640</v>
      </c>
      <c r="C7" s="15" t="s">
        <v>2641</v>
      </c>
      <c r="D7" s="33">
        <v>170000.0</v>
      </c>
      <c r="F7" s="15" t="s">
        <v>2644</v>
      </c>
      <c r="G7" s="28">
        <f>sumif(B3:B517,"nevia portable warmer + adaptor",D3:D517)</f>
        <v>530000</v>
      </c>
    </row>
    <row r="8">
      <c r="A8" s="35">
        <v>45626.0</v>
      </c>
      <c r="B8" s="15" t="s">
        <v>64</v>
      </c>
      <c r="C8" s="15" t="s">
        <v>2645</v>
      </c>
      <c r="D8" s="33">
        <v>140000.0</v>
      </c>
      <c r="F8" s="15" t="s">
        <v>2646</v>
      </c>
      <c r="G8" s="28">
        <f>sumif(B3:B517,"mom uung portable",D3:D517)</f>
        <v>930000</v>
      </c>
    </row>
    <row r="9">
      <c r="A9" s="37">
        <v>45627.0</v>
      </c>
      <c r="B9" s="15" t="s">
        <v>2642</v>
      </c>
      <c r="C9" s="15" t="s">
        <v>2641</v>
      </c>
      <c r="D9" s="33">
        <v>310000.0</v>
      </c>
      <c r="F9" s="15" t="s">
        <v>104</v>
      </c>
      <c r="G9" s="28">
        <f>sumif(B3:B517,"momabae omni",D3:D517)</f>
        <v>10226500</v>
      </c>
    </row>
    <row r="10">
      <c r="A10" s="35">
        <v>45638.0</v>
      </c>
      <c r="B10" s="15" t="s">
        <v>64</v>
      </c>
      <c r="C10" s="15" t="s">
        <v>2645</v>
      </c>
      <c r="D10" s="33">
        <v>140000.0</v>
      </c>
      <c r="F10" s="15" t="s">
        <v>2647</v>
      </c>
      <c r="G10" s="28">
        <f>sumif(B3:B517,"gabag imax pro cup led",D3:D517)</f>
        <v>500000</v>
      </c>
    </row>
    <row r="11">
      <c r="A11" s="35">
        <v>45654.0</v>
      </c>
      <c r="B11" s="15" t="s">
        <v>64</v>
      </c>
      <c r="C11" s="15" t="s">
        <v>2641</v>
      </c>
      <c r="D11" s="33">
        <v>250000.0</v>
      </c>
      <c r="F11" s="15" t="s">
        <v>2648</v>
      </c>
      <c r="G11" s="28">
        <f>sumif(B3:B517,"momabae compact s+",D3:D517)</f>
        <v>2695000</v>
      </c>
    </row>
    <row r="12">
      <c r="A12" s="37"/>
      <c r="B12" s="15" t="s">
        <v>2649</v>
      </c>
      <c r="C12" s="15"/>
      <c r="D12" s="33">
        <f>SUM(D3:D11)</f>
        <v>1400000</v>
      </c>
      <c r="F12" s="15" t="s">
        <v>2650</v>
      </c>
      <c r="G12" s="28">
        <f>sumif(B3:B517,"spectra 9+",D3:D517)</f>
        <v>4485000</v>
      </c>
    </row>
    <row r="13">
      <c r="D13" s="36"/>
      <c r="F13" s="15" t="s">
        <v>2651</v>
      </c>
      <c r="G13" s="28">
        <f>sumif(B3:B517,"spectra h1 lite",D3:D517)</f>
        <v>490000</v>
      </c>
    </row>
    <row r="14">
      <c r="A14" s="37">
        <v>45659.0</v>
      </c>
      <c r="B14" s="15" t="s">
        <v>2642</v>
      </c>
      <c r="C14" s="15" t="s">
        <v>2652</v>
      </c>
      <c r="D14" s="33">
        <v>620000.0</v>
      </c>
      <c r="F14" s="15" t="s">
        <v>2653</v>
      </c>
      <c r="G14" s="28">
        <f>sumif(B3:B517,"mom uung handsfree",D3:D517)</f>
        <v>1355000</v>
      </c>
    </row>
    <row r="15">
      <c r="A15" s="37">
        <v>45680.0</v>
      </c>
      <c r="B15" s="15" t="s">
        <v>2640</v>
      </c>
      <c r="C15" s="15" t="s">
        <v>2638</v>
      </c>
      <c r="D15" s="33">
        <v>60000.0</v>
      </c>
      <c r="F15" s="15" t="s">
        <v>2654</v>
      </c>
      <c r="G15" s="28">
        <f>sumif(B3:B517,"bebetons neo v2",D3:D517)</f>
        <v>320000</v>
      </c>
    </row>
    <row r="16">
      <c r="A16" s="37">
        <v>45687.0</v>
      </c>
      <c r="B16" s="15" t="s">
        <v>64</v>
      </c>
      <c r="C16" s="15" t="s">
        <v>2641</v>
      </c>
      <c r="D16" s="33">
        <v>250000.0</v>
      </c>
      <c r="F16" s="15" t="s">
        <v>2655</v>
      </c>
      <c r="G16" s="28">
        <f>sumif(B3:B517,"spectra dual s",D3:D517)</f>
        <v>2781000</v>
      </c>
    </row>
    <row r="17">
      <c r="A17" s="37">
        <v>45691.0</v>
      </c>
      <c r="B17" s="15" t="s">
        <v>824</v>
      </c>
      <c r="C17" s="15" t="s">
        <v>2638</v>
      </c>
      <c r="D17" s="33">
        <v>70000.0</v>
      </c>
      <c r="F17" s="15" t="s">
        <v>2656</v>
      </c>
      <c r="G17" s="28">
        <f>sumif(B3:B517,"medela swing maxi hf",D3:D517)</f>
        <v>2220000</v>
      </c>
    </row>
    <row r="18">
      <c r="A18" s="37">
        <v>45692.0</v>
      </c>
      <c r="B18" s="15" t="s">
        <v>2657</v>
      </c>
      <c r="C18" s="15" t="s">
        <v>2638</v>
      </c>
      <c r="D18" s="33">
        <v>55000.0</v>
      </c>
      <c r="F18" s="15" t="s">
        <v>2658</v>
      </c>
      <c r="G18" s="28">
        <f>sumif(B3:B517,"momcozy v1 pro",D3:D517)</f>
        <v>5380000</v>
      </c>
    </row>
    <row r="19">
      <c r="A19" s="37">
        <v>45692.0</v>
      </c>
      <c r="B19" s="15" t="s">
        <v>894</v>
      </c>
      <c r="C19" s="15" t="s">
        <v>2638</v>
      </c>
      <c r="D19" s="33">
        <v>70000.0</v>
      </c>
      <c r="F19" s="15" t="s">
        <v>2659</v>
      </c>
      <c r="G19" s="28">
        <f>sumif(B3:B517,"opia diamond",D3:D517)</f>
        <v>1240000</v>
      </c>
    </row>
    <row r="20">
      <c r="A20" s="37">
        <v>45701.0</v>
      </c>
      <c r="B20" s="15" t="s">
        <v>2660</v>
      </c>
      <c r="C20" s="15" t="s">
        <v>2638</v>
      </c>
      <c r="D20" s="33">
        <v>80000.0</v>
      </c>
      <c r="F20" s="15" t="s">
        <v>2661</v>
      </c>
      <c r="G20" s="28">
        <f>sumif(B3:B517,"medela swing maxi double",D3:D517)</f>
        <v>1000000</v>
      </c>
    </row>
    <row r="21">
      <c r="A21" s="37">
        <v>45705.0</v>
      </c>
      <c r="B21" s="15" t="s">
        <v>64</v>
      </c>
      <c r="C21" s="15" t="s">
        <v>2638</v>
      </c>
      <c r="D21" s="33">
        <v>80000.0</v>
      </c>
      <c r="F21" s="15" t="s">
        <v>2286</v>
      </c>
      <c r="G21" s="28">
        <f>sumif(B4:B518,"Momcozy m9",D4:D518)</f>
        <v>1320000</v>
      </c>
    </row>
    <row r="22">
      <c r="A22" s="37">
        <v>45714.0</v>
      </c>
      <c r="B22" s="15" t="s">
        <v>64</v>
      </c>
      <c r="C22" s="15" t="s">
        <v>2638</v>
      </c>
      <c r="D22" s="33">
        <v>80000.0</v>
      </c>
      <c r="F22" s="15" t="s">
        <v>2327</v>
      </c>
      <c r="G22" s="28">
        <f>sumif(B5:B519,"Momcozy v2 pro",D5:D519)</f>
        <v>1950000</v>
      </c>
    </row>
    <row r="23">
      <c r="A23" s="37">
        <v>45716.0</v>
      </c>
      <c r="B23" s="15" t="s">
        <v>205</v>
      </c>
      <c r="C23" s="15" t="s">
        <v>2638</v>
      </c>
      <c r="D23" s="33">
        <v>60000.0</v>
      </c>
      <c r="F23" s="15" t="s">
        <v>2662</v>
      </c>
      <c r="G23" s="28">
        <f>sumif(B6:B520,"Momabae Omni S+",D6:D520)</f>
        <v>1060000</v>
      </c>
    </row>
    <row r="24">
      <c r="A24" s="37"/>
      <c r="B24" s="15" t="s">
        <v>2649</v>
      </c>
      <c r="C24" s="15"/>
      <c r="D24" s="33">
        <f>SUM(D14:D23)</f>
        <v>1425000</v>
      </c>
      <c r="F24" s="15" t="s">
        <v>2663</v>
      </c>
      <c r="G24" s="28">
        <f>sumif(B7:B521,"Mooimom m3 pro",D7:D521)</f>
        <v>910000</v>
      </c>
    </row>
    <row r="25">
      <c r="A25" s="37"/>
      <c r="B25" s="15"/>
      <c r="C25" s="15"/>
      <c r="D25" s="33"/>
      <c r="F25" s="15" t="s">
        <v>2664</v>
      </c>
      <c r="G25" s="28">
        <f>sumif(B8:B522,"Mooimom x1",D8:D522)</f>
        <v>490000</v>
      </c>
    </row>
    <row r="26">
      <c r="A26" s="37">
        <v>45719.0</v>
      </c>
      <c r="B26" s="15" t="s">
        <v>64</v>
      </c>
      <c r="C26" s="15" t="s">
        <v>2641</v>
      </c>
      <c r="D26" s="33">
        <v>250000.0</v>
      </c>
      <c r="F26" s="15" t="s">
        <v>2665</v>
      </c>
      <c r="G26" s="28">
        <f>sumif(B9:B523,"Medela Handsfree cup",D9:D523)</f>
        <v>310000</v>
      </c>
    </row>
    <row r="27">
      <c r="A27" s="37">
        <v>45722.0</v>
      </c>
      <c r="B27" s="15" t="s">
        <v>401</v>
      </c>
      <c r="C27" s="15" t="s">
        <v>2645</v>
      </c>
      <c r="D27" s="33">
        <v>140000.0</v>
      </c>
      <c r="G27" s="28"/>
    </row>
    <row r="28">
      <c r="A28" s="37">
        <v>45731.0</v>
      </c>
      <c r="B28" s="15" t="s">
        <v>104</v>
      </c>
      <c r="C28" s="15" t="s">
        <v>2638</v>
      </c>
      <c r="D28" s="33">
        <v>60000.0</v>
      </c>
      <c r="G28" s="28"/>
    </row>
    <row r="29">
      <c r="A29" s="37">
        <v>45731.0</v>
      </c>
      <c r="B29" s="15" t="s">
        <v>952</v>
      </c>
      <c r="C29" s="15" t="s">
        <v>2641</v>
      </c>
      <c r="D29" s="33">
        <v>310000.0</v>
      </c>
      <c r="G29" s="28"/>
    </row>
    <row r="30">
      <c r="A30" s="37">
        <v>45732.0</v>
      </c>
      <c r="B30" s="15" t="s">
        <v>104</v>
      </c>
      <c r="C30" s="15" t="s">
        <v>2638</v>
      </c>
      <c r="D30" s="33">
        <v>60000.0</v>
      </c>
      <c r="G30" s="28"/>
    </row>
    <row r="31">
      <c r="A31" s="37">
        <v>45732.0</v>
      </c>
      <c r="B31" s="15" t="s">
        <v>104</v>
      </c>
      <c r="C31" s="15" t="s">
        <v>2638</v>
      </c>
      <c r="D31" s="33">
        <v>60000.0</v>
      </c>
      <c r="G31" s="28"/>
    </row>
    <row r="32">
      <c r="A32" s="37">
        <v>45733.0</v>
      </c>
      <c r="B32" s="15" t="s">
        <v>205</v>
      </c>
      <c r="C32" s="15" t="s">
        <v>2645</v>
      </c>
      <c r="D32" s="33">
        <v>100000.0</v>
      </c>
      <c r="G32" s="28"/>
    </row>
    <row r="33">
      <c r="A33" s="37">
        <v>45738.0</v>
      </c>
      <c r="B33" s="15" t="s">
        <v>238</v>
      </c>
      <c r="C33" s="15" t="s">
        <v>2641</v>
      </c>
      <c r="D33" s="33">
        <v>170000.0</v>
      </c>
      <c r="G33" s="28"/>
    </row>
    <row r="34">
      <c r="A34" s="37">
        <v>45740.0</v>
      </c>
      <c r="B34" s="15" t="s">
        <v>104</v>
      </c>
      <c r="C34" s="15" t="s">
        <v>2641</v>
      </c>
      <c r="D34" s="33">
        <v>170000.0</v>
      </c>
      <c r="G34" s="28"/>
    </row>
    <row r="35">
      <c r="A35" s="37">
        <v>45742.0</v>
      </c>
      <c r="B35" s="15" t="s">
        <v>401</v>
      </c>
      <c r="C35" s="15" t="s">
        <v>2641</v>
      </c>
      <c r="D35" s="33">
        <v>250000.0</v>
      </c>
      <c r="G35" s="28"/>
    </row>
    <row r="36">
      <c r="A36" s="37">
        <v>45742.0</v>
      </c>
      <c r="B36" s="15" t="s">
        <v>2666</v>
      </c>
      <c r="C36" s="15" t="s">
        <v>2638</v>
      </c>
      <c r="D36" s="33">
        <v>60000.0</v>
      </c>
      <c r="G36" s="28"/>
    </row>
    <row r="37">
      <c r="B37" s="15" t="s">
        <v>2649</v>
      </c>
      <c r="D37" s="36">
        <f>SUM(D26:D36)</f>
        <v>1630000</v>
      </c>
      <c r="G37" s="28"/>
    </row>
    <row r="38">
      <c r="A38" s="38"/>
      <c r="D38" s="36"/>
      <c r="G38" s="28"/>
    </row>
    <row r="39">
      <c r="A39" s="37">
        <v>45757.0</v>
      </c>
      <c r="B39" s="15" t="s">
        <v>2660</v>
      </c>
      <c r="C39" s="15" t="s">
        <v>2641</v>
      </c>
      <c r="D39" s="33">
        <v>125000.0</v>
      </c>
      <c r="G39" s="28"/>
    </row>
    <row r="40">
      <c r="A40" s="37">
        <v>45763.0</v>
      </c>
      <c r="B40" s="15" t="s">
        <v>401</v>
      </c>
      <c r="C40" s="15" t="s">
        <v>2638</v>
      </c>
      <c r="D40" s="33">
        <v>80000.0</v>
      </c>
      <c r="G40" s="28"/>
    </row>
    <row r="41">
      <c r="A41" s="37">
        <v>45763.0</v>
      </c>
      <c r="B41" s="15" t="s">
        <v>952</v>
      </c>
      <c r="C41" s="15" t="s">
        <v>2667</v>
      </c>
      <c r="D41" s="33">
        <v>310000.0</v>
      </c>
      <c r="G41" s="28"/>
    </row>
    <row r="42">
      <c r="A42" s="37">
        <v>45766.0</v>
      </c>
      <c r="B42" s="15" t="s">
        <v>104</v>
      </c>
      <c r="C42" s="15" t="s">
        <v>2638</v>
      </c>
      <c r="D42" s="33">
        <v>60000.0</v>
      </c>
      <c r="G42" s="28"/>
    </row>
    <row r="43">
      <c r="A43" s="37">
        <v>45767.0</v>
      </c>
      <c r="B43" s="15" t="s">
        <v>205</v>
      </c>
      <c r="C43" s="15" t="s">
        <v>2638</v>
      </c>
      <c r="D43" s="33">
        <v>70000.0</v>
      </c>
      <c r="G43" s="28"/>
    </row>
    <row r="44">
      <c r="A44" s="37">
        <v>45767.0</v>
      </c>
      <c r="B44" s="15" t="s">
        <v>205</v>
      </c>
      <c r="C44" s="15" t="s">
        <v>2638</v>
      </c>
      <c r="D44" s="33">
        <v>70000.0</v>
      </c>
      <c r="G44" s="28"/>
    </row>
    <row r="45">
      <c r="A45" s="37">
        <v>45770.0</v>
      </c>
      <c r="B45" s="15" t="s">
        <v>863</v>
      </c>
      <c r="C45" s="15" t="s">
        <v>2667</v>
      </c>
      <c r="D45" s="33">
        <v>125000.0</v>
      </c>
      <c r="G45" s="28"/>
    </row>
    <row r="46">
      <c r="A46" s="37">
        <v>45770.0</v>
      </c>
      <c r="B46" s="15" t="s">
        <v>401</v>
      </c>
      <c r="C46" s="15" t="s">
        <v>2667</v>
      </c>
      <c r="D46" s="33">
        <v>250000.0</v>
      </c>
      <c r="G46" s="28"/>
    </row>
    <row r="47">
      <c r="A47" s="37">
        <v>45772.0</v>
      </c>
      <c r="B47" s="15" t="s">
        <v>2562</v>
      </c>
      <c r="C47" s="15" t="s">
        <v>2641</v>
      </c>
      <c r="D47" s="33">
        <v>170000.0</v>
      </c>
      <c r="G47" s="28"/>
    </row>
    <row r="48">
      <c r="A48" s="37">
        <v>45774.0</v>
      </c>
      <c r="B48" s="15" t="s">
        <v>1241</v>
      </c>
      <c r="C48" s="15" t="s">
        <v>2667</v>
      </c>
      <c r="D48" s="33">
        <v>210000.0</v>
      </c>
      <c r="G48" s="28"/>
    </row>
    <row r="49">
      <c r="A49" s="37">
        <v>45774.0</v>
      </c>
      <c r="B49" s="15" t="s">
        <v>304</v>
      </c>
      <c r="C49" s="15" t="s">
        <v>2645</v>
      </c>
      <c r="D49" s="33">
        <v>130000.0</v>
      </c>
      <c r="G49" s="28"/>
    </row>
    <row r="50">
      <c r="A50" s="37">
        <v>45775.0</v>
      </c>
      <c r="B50" s="15" t="s">
        <v>139</v>
      </c>
      <c r="C50" s="15" t="s">
        <v>2645</v>
      </c>
      <c r="D50" s="33">
        <v>100000.0</v>
      </c>
      <c r="G50" s="28"/>
    </row>
    <row r="51">
      <c r="A51" s="37">
        <v>45775.0</v>
      </c>
      <c r="B51" s="15" t="s">
        <v>104</v>
      </c>
      <c r="C51" s="15" t="s">
        <v>2638</v>
      </c>
      <c r="D51" s="33">
        <v>60000.0</v>
      </c>
      <c r="G51" s="28"/>
    </row>
    <row r="52">
      <c r="A52" s="37">
        <v>45776.0</v>
      </c>
      <c r="B52" s="15" t="s">
        <v>64</v>
      </c>
      <c r="C52" s="15" t="s">
        <v>2645</v>
      </c>
      <c r="D52" s="33">
        <v>140000.0</v>
      </c>
      <c r="G52" s="28"/>
    </row>
    <row r="53">
      <c r="A53" s="37">
        <v>45776.0</v>
      </c>
      <c r="B53" s="15" t="s">
        <v>2520</v>
      </c>
      <c r="C53" s="15" t="s">
        <v>2638</v>
      </c>
      <c r="D53" s="33">
        <v>70000.0</v>
      </c>
      <c r="G53" s="28"/>
    </row>
    <row r="54">
      <c r="B54" s="15" t="s">
        <v>2668</v>
      </c>
      <c r="D54" s="36">
        <f>SUM(D39:D53)</f>
        <v>1970000</v>
      </c>
      <c r="G54" s="28"/>
    </row>
    <row r="55">
      <c r="D55" s="36"/>
      <c r="G55" s="28"/>
    </row>
    <row r="56">
      <c r="A56" s="37">
        <v>45779.0</v>
      </c>
      <c r="B56" s="15" t="s">
        <v>205</v>
      </c>
      <c r="C56" s="15" t="s">
        <v>2645</v>
      </c>
      <c r="D56" s="33">
        <v>100000.0</v>
      </c>
      <c r="G56" s="28"/>
    </row>
    <row r="57">
      <c r="A57" s="37">
        <v>45786.0</v>
      </c>
      <c r="B57" s="15" t="s">
        <v>104</v>
      </c>
      <c r="C57" s="15" t="s">
        <v>2638</v>
      </c>
      <c r="D57" s="33">
        <v>60000.0</v>
      </c>
      <c r="G57" s="28"/>
    </row>
    <row r="58">
      <c r="A58" s="37">
        <v>45786.0</v>
      </c>
      <c r="B58" s="15" t="s">
        <v>824</v>
      </c>
      <c r="C58" s="15" t="s">
        <v>2638</v>
      </c>
      <c r="D58" s="33">
        <v>50000.0</v>
      </c>
      <c r="G58" s="28"/>
    </row>
    <row r="59">
      <c r="A59" s="37">
        <v>45789.0</v>
      </c>
      <c r="B59" s="15" t="s">
        <v>304</v>
      </c>
      <c r="C59" s="15" t="s">
        <v>2638</v>
      </c>
      <c r="D59" s="33">
        <v>80000.0</v>
      </c>
      <c r="G59" s="28"/>
    </row>
    <row r="60">
      <c r="A60" s="37">
        <v>45790.0</v>
      </c>
      <c r="B60" s="15" t="s">
        <v>205</v>
      </c>
      <c r="C60" s="15" t="s">
        <v>2638</v>
      </c>
      <c r="D60" s="33">
        <v>60000.0</v>
      </c>
      <c r="G60" s="28"/>
    </row>
    <row r="61">
      <c r="A61" s="37">
        <v>45791.0</v>
      </c>
      <c r="B61" s="15" t="s">
        <v>831</v>
      </c>
      <c r="C61" s="15" t="s">
        <v>2638</v>
      </c>
      <c r="D61" s="33">
        <v>70000.0</v>
      </c>
      <c r="G61" s="28"/>
    </row>
    <row r="62">
      <c r="A62" s="37">
        <v>45795.0</v>
      </c>
      <c r="B62" s="15" t="s">
        <v>2660</v>
      </c>
      <c r="C62" s="15" t="s">
        <v>2638</v>
      </c>
      <c r="D62" s="33">
        <v>60000.0</v>
      </c>
      <c r="G62" s="28"/>
    </row>
    <row r="63">
      <c r="A63" s="37">
        <v>45795.0</v>
      </c>
      <c r="B63" s="15" t="s">
        <v>64</v>
      </c>
      <c r="C63" s="15" t="s">
        <v>2638</v>
      </c>
      <c r="D63" s="33">
        <v>80000.0</v>
      </c>
      <c r="G63" s="28"/>
    </row>
    <row r="64">
      <c r="A64" s="37">
        <v>45796.0</v>
      </c>
      <c r="B64" s="15" t="s">
        <v>104</v>
      </c>
      <c r="C64" s="15" t="s">
        <v>2638</v>
      </c>
      <c r="D64" s="33">
        <v>60000.0</v>
      </c>
      <c r="G64" s="28"/>
    </row>
    <row r="65">
      <c r="A65" s="37">
        <v>45797.0</v>
      </c>
      <c r="B65" s="15" t="s">
        <v>883</v>
      </c>
      <c r="C65" s="15" t="s">
        <v>2638</v>
      </c>
      <c r="D65" s="33">
        <v>60000.0</v>
      </c>
      <c r="G65" s="28"/>
    </row>
    <row r="66">
      <c r="A66" s="37">
        <v>45797.0</v>
      </c>
      <c r="B66" s="15" t="s">
        <v>304</v>
      </c>
      <c r="C66" s="15" t="s">
        <v>2638</v>
      </c>
      <c r="D66" s="33">
        <v>140000.0</v>
      </c>
      <c r="G66" s="28"/>
    </row>
    <row r="67">
      <c r="A67" s="37">
        <v>45797.0</v>
      </c>
      <c r="B67" s="15" t="s">
        <v>31</v>
      </c>
      <c r="C67" s="15" t="s">
        <v>2638</v>
      </c>
      <c r="D67" s="33">
        <v>60000.0</v>
      </c>
      <c r="G67" s="28"/>
    </row>
    <row r="68">
      <c r="A68" s="37">
        <v>45799.0</v>
      </c>
      <c r="B68" s="15" t="s">
        <v>831</v>
      </c>
      <c r="C68" s="15" t="s">
        <v>2669</v>
      </c>
      <c r="D68" s="33">
        <v>50000.0</v>
      </c>
      <c r="G68" s="28"/>
    </row>
    <row r="69">
      <c r="A69" s="37">
        <v>45801.0</v>
      </c>
      <c r="B69" s="15" t="s">
        <v>139</v>
      </c>
      <c r="C69" s="15" t="s">
        <v>2638</v>
      </c>
      <c r="D69" s="33">
        <v>60000.0</v>
      </c>
      <c r="G69" s="28"/>
    </row>
    <row r="70">
      <c r="A70" s="37">
        <v>45801.0</v>
      </c>
      <c r="B70" s="15" t="s">
        <v>952</v>
      </c>
      <c r="C70" s="15" t="s">
        <v>2670</v>
      </c>
      <c r="D70" s="33">
        <v>620000.0</v>
      </c>
      <c r="G70" s="28"/>
    </row>
    <row r="71">
      <c r="A71" s="37">
        <v>45805.0</v>
      </c>
      <c r="B71" s="15" t="s">
        <v>139</v>
      </c>
      <c r="C71" s="15" t="s">
        <v>2638</v>
      </c>
      <c r="D71" s="33">
        <v>60000.0</v>
      </c>
      <c r="G71" s="28"/>
    </row>
    <row r="72">
      <c r="A72" s="37">
        <v>45805.0</v>
      </c>
      <c r="B72" s="15" t="s">
        <v>1241</v>
      </c>
      <c r="C72" s="15" t="s">
        <v>2638</v>
      </c>
      <c r="D72" s="33">
        <v>70000.0</v>
      </c>
      <c r="G72" s="28"/>
    </row>
    <row r="73">
      <c r="A73" s="37">
        <v>45805.0</v>
      </c>
      <c r="B73" s="15" t="s">
        <v>64</v>
      </c>
      <c r="C73" s="15" t="s">
        <v>2638</v>
      </c>
      <c r="D73" s="33">
        <v>80000.0</v>
      </c>
      <c r="G73" s="28"/>
    </row>
    <row r="74">
      <c r="A74" s="37">
        <v>45805.0</v>
      </c>
      <c r="B74" s="15" t="s">
        <v>304</v>
      </c>
      <c r="C74" s="15" t="s">
        <v>2641</v>
      </c>
      <c r="D74" s="33">
        <v>230000.0</v>
      </c>
      <c r="G74" s="28"/>
    </row>
    <row r="75">
      <c r="A75" s="37">
        <v>45806.0</v>
      </c>
      <c r="B75" s="15" t="s">
        <v>238</v>
      </c>
      <c r="C75" s="15" t="s">
        <v>2645</v>
      </c>
      <c r="D75" s="33">
        <v>100000.0</v>
      </c>
      <c r="G75" s="28"/>
    </row>
    <row r="76">
      <c r="A76" s="37">
        <v>45808.0</v>
      </c>
      <c r="B76" s="15" t="s">
        <v>104</v>
      </c>
      <c r="C76" s="15" t="s">
        <v>2645</v>
      </c>
      <c r="D76" s="33">
        <v>100000.0</v>
      </c>
      <c r="G76" s="28"/>
    </row>
    <row r="77">
      <c r="A77" s="37">
        <v>45808.0</v>
      </c>
      <c r="B77" s="15" t="s">
        <v>883</v>
      </c>
      <c r="C77" s="15" t="s">
        <v>2645</v>
      </c>
      <c r="D77" s="33">
        <v>75000.0</v>
      </c>
      <c r="G77" s="28"/>
    </row>
    <row r="78">
      <c r="A78" s="37">
        <v>45808.0</v>
      </c>
      <c r="B78" s="15" t="s">
        <v>64</v>
      </c>
      <c r="C78" s="15" t="s">
        <v>2645</v>
      </c>
      <c r="D78" s="33">
        <v>140000.0</v>
      </c>
      <c r="G78" s="28"/>
    </row>
    <row r="79">
      <c r="B79" s="15" t="s">
        <v>2668</v>
      </c>
      <c r="D79" s="36">
        <f>SUM(D56:D78)</f>
        <v>2465000</v>
      </c>
      <c r="G79" s="28"/>
    </row>
    <row r="80">
      <c r="D80" s="36"/>
      <c r="G80" s="28"/>
    </row>
    <row r="81">
      <c r="A81" s="37">
        <v>45809.0</v>
      </c>
      <c r="B81" s="15" t="s">
        <v>205</v>
      </c>
      <c r="C81" s="15" t="s">
        <v>2638</v>
      </c>
      <c r="D81" s="33">
        <v>60000.0</v>
      </c>
      <c r="G81" s="28"/>
    </row>
    <row r="82">
      <c r="A82" s="37">
        <v>45811.0</v>
      </c>
      <c r="B82" s="15" t="s">
        <v>205</v>
      </c>
      <c r="C82" s="15" t="s">
        <v>2638</v>
      </c>
      <c r="D82" s="33">
        <v>60000.0</v>
      </c>
      <c r="G82" s="28"/>
    </row>
    <row r="83">
      <c r="A83" s="37">
        <v>45813.0</v>
      </c>
      <c r="B83" s="15" t="s">
        <v>104</v>
      </c>
      <c r="C83" s="15" t="s">
        <v>2641</v>
      </c>
      <c r="D83" s="33">
        <v>170000.0</v>
      </c>
      <c r="G83" s="28"/>
    </row>
    <row r="84">
      <c r="A84" s="37">
        <v>45814.0</v>
      </c>
      <c r="B84" s="15" t="s">
        <v>831</v>
      </c>
      <c r="C84" s="15" t="s">
        <v>2671</v>
      </c>
      <c r="D84" s="33">
        <v>60000.0</v>
      </c>
      <c r="G84" s="28"/>
    </row>
    <row r="85">
      <c r="A85" s="37">
        <v>45816.0</v>
      </c>
      <c r="B85" s="15" t="s">
        <v>64</v>
      </c>
      <c r="C85" s="15" t="s">
        <v>2638</v>
      </c>
      <c r="D85" s="33">
        <v>80000.0</v>
      </c>
      <c r="G85" s="28"/>
    </row>
    <row r="86">
      <c r="A86" s="37">
        <v>45819.0</v>
      </c>
      <c r="B86" s="15" t="s">
        <v>205</v>
      </c>
      <c r="C86" s="15" t="s">
        <v>2641</v>
      </c>
      <c r="D86" s="33">
        <v>170000.0</v>
      </c>
      <c r="G86" s="28"/>
    </row>
    <row r="87">
      <c r="A87" s="37">
        <v>45821.0</v>
      </c>
      <c r="B87" s="15" t="s">
        <v>894</v>
      </c>
      <c r="C87" s="15" t="s">
        <v>2638</v>
      </c>
      <c r="D87" s="33">
        <v>50000.0</v>
      </c>
      <c r="G87" s="28"/>
    </row>
    <row r="88">
      <c r="A88" s="37">
        <v>45823.0</v>
      </c>
      <c r="B88" s="15" t="s">
        <v>883</v>
      </c>
      <c r="C88" s="15" t="s">
        <v>2645</v>
      </c>
      <c r="D88" s="33">
        <v>100000.0</v>
      </c>
      <c r="G88" s="28"/>
    </row>
    <row r="89">
      <c r="A89" s="37">
        <v>45823.0</v>
      </c>
      <c r="B89" s="15" t="s">
        <v>139</v>
      </c>
      <c r="C89" s="15" t="s">
        <v>2641</v>
      </c>
      <c r="D89" s="33">
        <v>170000.0</v>
      </c>
      <c r="G89" s="28"/>
    </row>
    <row r="90">
      <c r="A90" s="37">
        <v>45824.0</v>
      </c>
      <c r="B90" s="15" t="s">
        <v>1534</v>
      </c>
      <c r="C90" s="15" t="s">
        <v>2638</v>
      </c>
      <c r="D90" s="33">
        <v>50000.0</v>
      </c>
      <c r="G90" s="28"/>
    </row>
    <row r="91">
      <c r="A91" s="37">
        <v>45825.0</v>
      </c>
      <c r="B91" s="15" t="s">
        <v>831</v>
      </c>
      <c r="C91" s="15" t="s">
        <v>2672</v>
      </c>
      <c r="D91" s="33">
        <v>50000.0</v>
      </c>
      <c r="G91" s="28"/>
    </row>
    <row r="92">
      <c r="A92" s="37">
        <v>45826.0</v>
      </c>
      <c r="B92" s="15" t="s">
        <v>205</v>
      </c>
      <c r="C92" s="15" t="s">
        <v>2638</v>
      </c>
      <c r="D92" s="33">
        <v>60000.0</v>
      </c>
      <c r="G92" s="28"/>
    </row>
    <row r="93">
      <c r="A93" s="37">
        <v>45796.0</v>
      </c>
      <c r="B93" s="15" t="s">
        <v>2673</v>
      </c>
      <c r="C93" s="15" t="s">
        <v>2638</v>
      </c>
      <c r="D93" s="33">
        <v>60000.0</v>
      </c>
      <c r="G93" s="28"/>
    </row>
    <row r="94">
      <c r="A94" s="37">
        <v>45828.0</v>
      </c>
      <c r="B94" s="15" t="s">
        <v>64</v>
      </c>
      <c r="C94" s="15" t="s">
        <v>2645</v>
      </c>
      <c r="D94" s="33">
        <v>140000.0</v>
      </c>
      <c r="G94" s="28"/>
    </row>
    <row r="95">
      <c r="A95" s="37">
        <v>45833.0</v>
      </c>
      <c r="B95" s="15" t="s">
        <v>64</v>
      </c>
      <c r="C95" s="15" t="s">
        <v>2638</v>
      </c>
      <c r="D95" s="33">
        <v>80000.0</v>
      </c>
      <c r="G95" s="28"/>
    </row>
    <row r="96">
      <c r="A96" s="37">
        <v>45833.0</v>
      </c>
      <c r="B96" s="15" t="s">
        <v>1534</v>
      </c>
      <c r="C96" s="15" t="s">
        <v>2641</v>
      </c>
      <c r="D96" s="33">
        <v>125000.0</v>
      </c>
      <c r="G96" s="28"/>
    </row>
    <row r="97">
      <c r="A97" s="37">
        <v>45835.0</v>
      </c>
      <c r="B97" s="15" t="s">
        <v>883</v>
      </c>
      <c r="C97" s="15" t="s">
        <v>2645</v>
      </c>
      <c r="D97" s="33">
        <v>100000.0</v>
      </c>
      <c r="G97" s="28"/>
    </row>
    <row r="98">
      <c r="A98" s="37">
        <v>45835.0</v>
      </c>
      <c r="B98" s="15" t="s">
        <v>2674</v>
      </c>
      <c r="C98" s="15" t="s">
        <v>2645</v>
      </c>
      <c r="D98" s="33">
        <v>130000.0</v>
      </c>
      <c r="G98" s="28"/>
    </row>
    <row r="99">
      <c r="A99" s="37">
        <v>45838.0</v>
      </c>
      <c r="B99" s="15" t="s">
        <v>304</v>
      </c>
      <c r="C99" s="15" t="s">
        <v>2645</v>
      </c>
      <c r="D99" s="33">
        <v>130000.0</v>
      </c>
      <c r="G99" s="28"/>
    </row>
    <row r="100">
      <c r="B100" s="15" t="s">
        <v>2668</v>
      </c>
      <c r="D100" s="36">
        <f>SUM(D81:D99)</f>
        <v>1845000</v>
      </c>
      <c r="G100" s="28"/>
    </row>
    <row r="101">
      <c r="D101" s="36"/>
      <c r="G101" s="28"/>
    </row>
    <row r="102">
      <c r="A102" s="37">
        <v>45839.0</v>
      </c>
      <c r="B102" s="15" t="s">
        <v>831</v>
      </c>
      <c r="C102" s="15" t="s">
        <v>2638</v>
      </c>
      <c r="D102" s="33">
        <v>70000.0</v>
      </c>
      <c r="G102" s="28"/>
    </row>
    <row r="103">
      <c r="A103" s="37">
        <v>45840.0</v>
      </c>
      <c r="B103" s="15" t="s">
        <v>238</v>
      </c>
      <c r="C103" s="15" t="s">
        <v>2638</v>
      </c>
      <c r="D103" s="33">
        <v>60000.0</v>
      </c>
      <c r="G103" s="28"/>
    </row>
    <row r="104">
      <c r="A104" s="37">
        <v>45840.0</v>
      </c>
      <c r="B104" s="15" t="s">
        <v>304</v>
      </c>
      <c r="C104" s="15" t="s">
        <v>2638</v>
      </c>
      <c r="D104" s="33">
        <v>75000.0</v>
      </c>
      <c r="G104" s="28"/>
    </row>
    <row r="105">
      <c r="A105" s="37">
        <v>45843.0</v>
      </c>
      <c r="B105" s="15" t="s">
        <v>205</v>
      </c>
      <c r="C105" s="15" t="s">
        <v>2638</v>
      </c>
      <c r="D105" s="33">
        <v>60000.0</v>
      </c>
      <c r="G105" s="28"/>
    </row>
    <row r="106">
      <c r="A106" s="37">
        <v>45844.0</v>
      </c>
      <c r="B106" s="15" t="s">
        <v>104</v>
      </c>
      <c r="C106" s="15" t="s">
        <v>2641</v>
      </c>
      <c r="D106" s="33">
        <v>170000.0</v>
      </c>
      <c r="G106" s="28"/>
    </row>
    <row r="107">
      <c r="A107" s="37">
        <v>45844.0</v>
      </c>
      <c r="B107" s="15" t="s">
        <v>104</v>
      </c>
      <c r="C107" s="15" t="s">
        <v>2641</v>
      </c>
      <c r="D107" s="33">
        <v>170000.0</v>
      </c>
      <c r="G107" s="28"/>
    </row>
    <row r="108">
      <c r="A108" s="37">
        <v>45844.0</v>
      </c>
      <c r="B108" s="15" t="s">
        <v>401</v>
      </c>
      <c r="C108" s="15" t="s">
        <v>2638</v>
      </c>
      <c r="D108" s="33">
        <v>80000.0</v>
      </c>
      <c r="G108" s="28"/>
    </row>
    <row r="109">
      <c r="A109" s="37">
        <v>45844.0</v>
      </c>
      <c r="B109" s="15" t="s">
        <v>64</v>
      </c>
      <c r="C109" s="15" t="s">
        <v>2638</v>
      </c>
      <c r="D109" s="33">
        <v>80000.0</v>
      </c>
      <c r="G109" s="28"/>
    </row>
    <row r="110">
      <c r="A110" s="37">
        <v>45848.0</v>
      </c>
      <c r="B110" s="15" t="s">
        <v>205</v>
      </c>
      <c r="C110" s="15" t="s">
        <v>2641</v>
      </c>
      <c r="D110" s="33">
        <v>170000.0</v>
      </c>
      <c r="G110" s="28"/>
    </row>
    <row r="111">
      <c r="A111" s="37">
        <v>45849.0</v>
      </c>
      <c r="B111" s="15" t="s">
        <v>883</v>
      </c>
      <c r="C111" s="15" t="s">
        <v>2645</v>
      </c>
      <c r="D111" s="33">
        <v>100000.0</v>
      </c>
      <c r="G111" s="28"/>
    </row>
    <row r="112">
      <c r="A112" s="37">
        <v>45849.0</v>
      </c>
      <c r="B112" s="15" t="s">
        <v>831</v>
      </c>
      <c r="C112" s="15" t="s">
        <v>2638</v>
      </c>
      <c r="D112" s="33">
        <v>70000.0</v>
      </c>
      <c r="G112" s="28"/>
    </row>
    <row r="113">
      <c r="A113" s="37">
        <v>45850.0</v>
      </c>
      <c r="B113" s="15" t="s">
        <v>831</v>
      </c>
      <c r="C113" s="15" t="s">
        <v>2638</v>
      </c>
      <c r="D113" s="33">
        <v>70000.0</v>
      </c>
      <c r="G113" s="28"/>
    </row>
    <row r="114">
      <c r="A114" s="37">
        <v>45850.0</v>
      </c>
      <c r="B114" s="15" t="s">
        <v>64</v>
      </c>
      <c r="C114" s="15" t="s">
        <v>2638</v>
      </c>
      <c r="D114" s="33">
        <v>80000.0</v>
      </c>
      <c r="G114" s="28"/>
    </row>
    <row r="115">
      <c r="A115" s="37">
        <v>45850.0</v>
      </c>
      <c r="B115" s="15" t="s">
        <v>64</v>
      </c>
      <c r="C115" s="15" t="s">
        <v>2645</v>
      </c>
      <c r="D115" s="33">
        <v>140000.0</v>
      </c>
      <c r="G115" s="28"/>
    </row>
    <row r="116">
      <c r="A116" s="37">
        <v>45853.0</v>
      </c>
      <c r="B116" s="15" t="s">
        <v>104</v>
      </c>
      <c r="C116" s="15" t="s">
        <v>2645</v>
      </c>
      <c r="D116" s="33">
        <v>100000.0</v>
      </c>
      <c r="G116" s="28"/>
    </row>
    <row r="117">
      <c r="A117" s="37">
        <v>45853.0</v>
      </c>
      <c r="B117" s="15" t="s">
        <v>104</v>
      </c>
      <c r="C117" s="15" t="s">
        <v>2638</v>
      </c>
      <c r="D117" s="33">
        <v>60000.0</v>
      </c>
      <c r="G117" s="28"/>
    </row>
    <row r="118">
      <c r="A118" s="37">
        <v>45856.0</v>
      </c>
      <c r="B118" s="15" t="s">
        <v>104</v>
      </c>
      <c r="C118" s="15" t="s">
        <v>2638</v>
      </c>
      <c r="D118" s="33">
        <v>60000.0</v>
      </c>
      <c r="G118" s="28"/>
    </row>
    <row r="119">
      <c r="A119" s="37">
        <v>45856.0</v>
      </c>
      <c r="B119" s="15" t="s">
        <v>2674</v>
      </c>
      <c r="C119" s="15" t="s">
        <v>2638</v>
      </c>
      <c r="D119" s="33">
        <v>70000.0</v>
      </c>
      <c r="G119" s="28"/>
    </row>
    <row r="120">
      <c r="A120" s="37">
        <v>45856.0</v>
      </c>
      <c r="B120" s="15" t="s">
        <v>304</v>
      </c>
      <c r="C120" s="15" t="s">
        <v>2638</v>
      </c>
      <c r="D120" s="33">
        <v>75000.0</v>
      </c>
      <c r="G120" s="28"/>
    </row>
    <row r="121">
      <c r="A121" s="37">
        <v>45857.0</v>
      </c>
      <c r="B121" s="15" t="s">
        <v>304</v>
      </c>
      <c r="C121" s="15" t="s">
        <v>2645</v>
      </c>
      <c r="D121" s="33">
        <v>140000.0</v>
      </c>
      <c r="G121" s="28"/>
    </row>
    <row r="122">
      <c r="A122" s="37">
        <v>45863.0</v>
      </c>
      <c r="B122" s="15" t="s">
        <v>64</v>
      </c>
      <c r="C122" s="15" t="s">
        <v>2638</v>
      </c>
      <c r="D122" s="33">
        <v>80000.0</v>
      </c>
      <c r="G122" s="28"/>
    </row>
    <row r="123">
      <c r="A123" s="37">
        <v>45863.0</v>
      </c>
      <c r="B123" s="15" t="s">
        <v>831</v>
      </c>
      <c r="C123" s="15" t="s">
        <v>2638</v>
      </c>
      <c r="D123" s="33">
        <v>70000.0</v>
      </c>
      <c r="G123" s="28"/>
    </row>
    <row r="124">
      <c r="A124" s="37">
        <v>45863.0</v>
      </c>
      <c r="B124" s="15" t="s">
        <v>1307</v>
      </c>
      <c r="C124" s="15" t="s">
        <v>2641</v>
      </c>
      <c r="D124" s="33">
        <v>310000.0</v>
      </c>
      <c r="G124" s="28"/>
    </row>
    <row r="125">
      <c r="A125" s="37">
        <v>45863.0</v>
      </c>
      <c r="B125" s="15" t="s">
        <v>304</v>
      </c>
      <c r="C125" s="15" t="s">
        <v>2645</v>
      </c>
      <c r="D125" s="33">
        <v>130000.0</v>
      </c>
      <c r="G125" s="28"/>
    </row>
    <row r="126">
      <c r="A126" s="37">
        <v>45865.0</v>
      </c>
      <c r="B126" s="15" t="s">
        <v>883</v>
      </c>
      <c r="C126" s="15" t="s">
        <v>2645</v>
      </c>
      <c r="D126" s="33">
        <v>100000.0</v>
      </c>
      <c r="G126" s="28"/>
    </row>
    <row r="127">
      <c r="A127" s="37">
        <v>45867.0</v>
      </c>
      <c r="B127" s="15" t="s">
        <v>64</v>
      </c>
      <c r="C127" s="15" t="s">
        <v>2645</v>
      </c>
      <c r="D127" s="33">
        <v>140000.0</v>
      </c>
      <c r="G127" s="28"/>
    </row>
    <row r="128">
      <c r="B128" s="15" t="s">
        <v>2668</v>
      </c>
      <c r="D128" s="36">
        <f>SUM(D102:D127)</f>
        <v>2730000</v>
      </c>
      <c r="G128" s="28"/>
    </row>
    <row r="129">
      <c r="D129" s="36"/>
      <c r="G129" s="28"/>
    </row>
    <row r="130">
      <c r="A130" s="37">
        <v>45873.0</v>
      </c>
      <c r="B130" s="15" t="s">
        <v>104</v>
      </c>
      <c r="C130" s="15" t="s">
        <v>2638</v>
      </c>
      <c r="D130" s="33">
        <v>60000.0</v>
      </c>
      <c r="G130" s="28"/>
    </row>
    <row r="131">
      <c r="A131" s="37">
        <v>45873.0</v>
      </c>
      <c r="B131" s="15" t="s">
        <v>104</v>
      </c>
      <c r="C131" s="15" t="s">
        <v>2667</v>
      </c>
      <c r="D131" s="33">
        <v>170000.0</v>
      </c>
      <c r="G131" s="28"/>
    </row>
    <row r="132">
      <c r="A132" s="37">
        <v>45874.0</v>
      </c>
      <c r="B132" s="15" t="s">
        <v>104</v>
      </c>
      <c r="C132" s="15" t="s">
        <v>2638</v>
      </c>
      <c r="D132" s="33">
        <v>60000.0</v>
      </c>
      <c r="G132" s="28"/>
    </row>
    <row r="133">
      <c r="A133" s="37">
        <v>45877.0</v>
      </c>
      <c r="B133" s="15" t="s">
        <v>64</v>
      </c>
      <c r="C133" s="15" t="s">
        <v>2638</v>
      </c>
      <c r="D133" s="33">
        <v>80000.0</v>
      </c>
      <c r="G133" s="28"/>
    </row>
    <row r="134">
      <c r="A134" s="37">
        <v>45877.0</v>
      </c>
      <c r="B134" s="15" t="s">
        <v>104</v>
      </c>
      <c r="C134" s="15" t="s">
        <v>2641</v>
      </c>
      <c r="D134" s="33">
        <v>170000.0</v>
      </c>
      <c r="G134" s="28"/>
    </row>
    <row r="135">
      <c r="A135" s="37">
        <v>45877.0</v>
      </c>
      <c r="B135" s="15" t="s">
        <v>104</v>
      </c>
      <c r="C135" s="15" t="s">
        <v>2641</v>
      </c>
      <c r="D135" s="33">
        <v>170000.0</v>
      </c>
      <c r="G135" s="28"/>
    </row>
    <row r="136">
      <c r="A136" s="37">
        <v>45877.0</v>
      </c>
      <c r="B136" s="15" t="s">
        <v>883</v>
      </c>
      <c r="C136" s="15" t="s">
        <v>2645</v>
      </c>
      <c r="D136" s="33">
        <v>100000.0</v>
      </c>
      <c r="G136" s="28"/>
    </row>
    <row r="137">
      <c r="A137" s="37">
        <v>45878.0</v>
      </c>
      <c r="B137" s="15" t="s">
        <v>831</v>
      </c>
      <c r="C137" s="15" t="s">
        <v>2638</v>
      </c>
      <c r="D137" s="33">
        <v>70000.0</v>
      </c>
      <c r="G137" s="28"/>
    </row>
    <row r="138">
      <c r="A138" s="37">
        <v>45880.0</v>
      </c>
      <c r="B138" s="15" t="s">
        <v>831</v>
      </c>
      <c r="C138" s="15" t="s">
        <v>2641</v>
      </c>
      <c r="D138" s="33">
        <v>210000.0</v>
      </c>
      <c r="G138" s="28"/>
    </row>
    <row r="139">
      <c r="A139" s="37">
        <v>45880.0</v>
      </c>
      <c r="B139" s="15" t="s">
        <v>952</v>
      </c>
      <c r="C139" s="15" t="s">
        <v>2645</v>
      </c>
      <c r="D139" s="33">
        <v>180000.0</v>
      </c>
      <c r="G139" s="28"/>
    </row>
    <row r="140">
      <c r="A140" s="37">
        <v>45883.0</v>
      </c>
      <c r="B140" s="15" t="s">
        <v>104</v>
      </c>
      <c r="C140" s="15" t="s">
        <v>2638</v>
      </c>
      <c r="D140" s="33">
        <v>60000.0</v>
      </c>
      <c r="G140" s="28"/>
    </row>
    <row r="141">
      <c r="A141" s="37">
        <v>45883.0</v>
      </c>
      <c r="B141" s="15" t="s">
        <v>824</v>
      </c>
      <c r="C141" s="15" t="s">
        <v>2641</v>
      </c>
      <c r="D141" s="33">
        <v>115000.0</v>
      </c>
      <c r="G141" s="28"/>
    </row>
    <row r="142">
      <c r="A142" s="37">
        <v>45884.0</v>
      </c>
      <c r="B142" s="15" t="s">
        <v>64</v>
      </c>
      <c r="C142" s="15" t="s">
        <v>2638</v>
      </c>
      <c r="D142" s="33">
        <v>80000.0</v>
      </c>
      <c r="G142" s="28"/>
    </row>
    <row r="143">
      <c r="A143" s="37">
        <v>45885.0</v>
      </c>
      <c r="B143" s="15" t="s">
        <v>64</v>
      </c>
      <c r="C143" s="15" t="s">
        <v>2645</v>
      </c>
      <c r="D143" s="33">
        <v>140000.0</v>
      </c>
      <c r="G143" s="28"/>
    </row>
    <row r="144">
      <c r="A144" s="37">
        <v>45890.0</v>
      </c>
      <c r="B144" s="15" t="s">
        <v>104</v>
      </c>
      <c r="C144" s="15" t="s">
        <v>2645</v>
      </c>
      <c r="D144" s="33">
        <v>100000.0</v>
      </c>
      <c r="G144" s="28"/>
    </row>
    <row r="145">
      <c r="A145" s="37">
        <v>45890.0</v>
      </c>
      <c r="B145" s="15" t="s">
        <v>104</v>
      </c>
      <c r="C145" s="15" t="s">
        <v>2641</v>
      </c>
      <c r="D145" s="33">
        <v>170000.0</v>
      </c>
      <c r="G145" s="28"/>
    </row>
    <row r="146">
      <c r="A146" s="37">
        <v>45894.0</v>
      </c>
      <c r="B146" s="15" t="s">
        <v>104</v>
      </c>
      <c r="C146" s="15" t="s">
        <v>2638</v>
      </c>
      <c r="D146" s="33">
        <v>60000.0</v>
      </c>
      <c r="G146" s="28"/>
    </row>
    <row r="147">
      <c r="A147" s="37">
        <v>45894.0</v>
      </c>
      <c r="B147" s="15" t="s">
        <v>64</v>
      </c>
      <c r="C147" s="15" t="s">
        <v>2638</v>
      </c>
      <c r="D147" s="33">
        <v>80000.0</v>
      </c>
      <c r="G147" s="28"/>
    </row>
    <row r="148">
      <c r="A148" s="37">
        <v>45898.0</v>
      </c>
      <c r="B148" s="15" t="s">
        <v>1307</v>
      </c>
      <c r="C148" s="15" t="s">
        <v>2638</v>
      </c>
      <c r="D148" s="33">
        <v>100000.0</v>
      </c>
      <c r="G148" s="28"/>
    </row>
    <row r="149">
      <c r="A149" s="37">
        <v>45898.0</v>
      </c>
      <c r="B149" s="15" t="s">
        <v>952</v>
      </c>
      <c r="C149" s="15" t="s">
        <v>2638</v>
      </c>
      <c r="D149" s="33">
        <v>100000.0</v>
      </c>
      <c r="G149" s="28"/>
    </row>
    <row r="150">
      <c r="A150" s="37">
        <v>45899.0</v>
      </c>
      <c r="B150" s="15" t="s">
        <v>205</v>
      </c>
      <c r="C150" s="15" t="s">
        <v>2638</v>
      </c>
      <c r="D150" s="33">
        <v>60000.0</v>
      </c>
      <c r="G150" s="28"/>
    </row>
    <row r="151">
      <c r="A151" s="37">
        <v>45900.0</v>
      </c>
      <c r="B151" s="15" t="s">
        <v>304</v>
      </c>
      <c r="C151" s="15" t="s">
        <v>2638</v>
      </c>
      <c r="D151" s="33">
        <v>75000.0</v>
      </c>
      <c r="G151" s="28"/>
    </row>
    <row r="152">
      <c r="A152" s="37">
        <v>45900.0</v>
      </c>
      <c r="B152" s="15" t="s">
        <v>64</v>
      </c>
      <c r="C152" s="15" t="s">
        <v>2638</v>
      </c>
      <c r="D152" s="33">
        <v>80000.0</v>
      </c>
      <c r="G152" s="28"/>
    </row>
    <row r="153">
      <c r="A153" s="37">
        <v>45900.0</v>
      </c>
      <c r="B153" s="15" t="s">
        <v>64</v>
      </c>
      <c r="C153" s="15" t="s">
        <v>2641</v>
      </c>
      <c r="D153" s="33">
        <v>250000.0</v>
      </c>
      <c r="G153" s="28"/>
    </row>
    <row r="154">
      <c r="B154" s="15" t="s">
        <v>2668</v>
      </c>
      <c r="D154" s="36">
        <f>SUM(D130:D153)</f>
        <v>2740000</v>
      </c>
      <c r="G154" s="28"/>
    </row>
    <row r="155">
      <c r="B155" s="15"/>
      <c r="D155" s="36"/>
      <c r="G155" s="28"/>
    </row>
    <row r="156">
      <c r="A156" s="37">
        <v>45901.0</v>
      </c>
      <c r="B156" s="15" t="s">
        <v>1534</v>
      </c>
      <c r="C156" s="15" t="s">
        <v>2645</v>
      </c>
      <c r="D156" s="33">
        <v>75000.0</v>
      </c>
      <c r="G156" s="28"/>
    </row>
    <row r="157">
      <c r="A157" s="37">
        <v>45902.0</v>
      </c>
      <c r="B157" s="15" t="s">
        <v>831</v>
      </c>
      <c r="C157" s="15" t="s">
        <v>2638</v>
      </c>
      <c r="D157" s="33">
        <v>70000.0</v>
      </c>
      <c r="G157" s="28"/>
    </row>
    <row r="158">
      <c r="A158" s="37">
        <v>45903.0</v>
      </c>
      <c r="B158" s="15" t="s">
        <v>304</v>
      </c>
      <c r="C158" s="15" t="s">
        <v>2645</v>
      </c>
      <c r="D158" s="33">
        <v>130000.0</v>
      </c>
      <c r="G158" s="28"/>
    </row>
    <row r="159">
      <c r="A159" s="37">
        <v>45903.0</v>
      </c>
      <c r="B159" s="15" t="s">
        <v>824</v>
      </c>
      <c r="C159" s="15" t="s">
        <v>2638</v>
      </c>
      <c r="D159" s="33">
        <v>50000.0</v>
      </c>
      <c r="G159" s="28"/>
    </row>
    <row r="160">
      <c r="A160" s="37">
        <v>45907.0</v>
      </c>
      <c r="B160" s="15" t="s">
        <v>104</v>
      </c>
      <c r="C160" s="15" t="s">
        <v>2638</v>
      </c>
      <c r="D160" s="33">
        <v>60000.0</v>
      </c>
      <c r="G160" s="28"/>
    </row>
    <row r="161">
      <c r="A161" s="37">
        <v>45907.0</v>
      </c>
      <c r="B161" s="15" t="s">
        <v>1307</v>
      </c>
      <c r="C161" s="15" t="s">
        <v>2638</v>
      </c>
      <c r="D161" s="33">
        <v>100000.0</v>
      </c>
      <c r="G161" s="28"/>
    </row>
    <row r="162">
      <c r="A162" s="37">
        <v>45907.0</v>
      </c>
      <c r="B162" s="15" t="s">
        <v>952</v>
      </c>
      <c r="C162" s="15" t="s">
        <v>2638</v>
      </c>
      <c r="D162" s="33">
        <v>100000.0</v>
      </c>
      <c r="G162" s="28"/>
    </row>
    <row r="163">
      <c r="A163" s="37">
        <v>45908.0</v>
      </c>
      <c r="B163" s="15" t="s">
        <v>304</v>
      </c>
      <c r="C163" s="15" t="s">
        <v>2638</v>
      </c>
      <c r="D163" s="33">
        <v>70000.0</v>
      </c>
      <c r="G163" s="28"/>
    </row>
    <row r="164">
      <c r="A164" s="37">
        <v>45910.0</v>
      </c>
      <c r="B164" s="15" t="s">
        <v>104</v>
      </c>
      <c r="C164" s="15" t="s">
        <v>2641</v>
      </c>
      <c r="D164" s="33">
        <v>170000.0</v>
      </c>
      <c r="G164" s="28"/>
    </row>
    <row r="165">
      <c r="A165" s="37">
        <v>45910.0</v>
      </c>
      <c r="B165" s="15" t="s">
        <v>104</v>
      </c>
      <c r="C165" s="15" t="s">
        <v>2641</v>
      </c>
      <c r="D165" s="33">
        <v>170000.0</v>
      </c>
      <c r="G165" s="28"/>
    </row>
    <row r="166">
      <c r="A166" s="37">
        <v>45912.0</v>
      </c>
      <c r="B166" s="15" t="s">
        <v>2674</v>
      </c>
      <c r="C166" s="15" t="s">
        <v>2638</v>
      </c>
      <c r="D166" s="33">
        <v>70000.0</v>
      </c>
      <c r="G166" s="28"/>
    </row>
    <row r="167">
      <c r="A167" s="37">
        <v>45915.0</v>
      </c>
      <c r="B167" s="15" t="s">
        <v>824</v>
      </c>
      <c r="C167" s="15" t="s">
        <v>2641</v>
      </c>
      <c r="D167" s="33">
        <v>115000.0</v>
      </c>
      <c r="G167" s="28"/>
    </row>
    <row r="168">
      <c r="A168" s="37">
        <v>45915.0</v>
      </c>
      <c r="B168" s="15" t="s">
        <v>304</v>
      </c>
      <c r="C168" s="15" t="s">
        <v>2645</v>
      </c>
      <c r="D168" s="33">
        <v>130000.0</v>
      </c>
      <c r="G168" s="28"/>
    </row>
    <row r="169">
      <c r="A169" s="37">
        <v>45915.0</v>
      </c>
      <c r="B169" s="15" t="s">
        <v>1307</v>
      </c>
      <c r="C169" s="15" t="s">
        <v>2638</v>
      </c>
      <c r="D169" s="33">
        <v>100000.0</v>
      </c>
      <c r="G169" s="28"/>
    </row>
    <row r="170">
      <c r="A170" s="37">
        <v>45915.0</v>
      </c>
      <c r="B170" s="15" t="s">
        <v>1110</v>
      </c>
      <c r="C170" s="15" t="s">
        <v>2638</v>
      </c>
      <c r="D170" s="33">
        <v>130000.0</v>
      </c>
      <c r="G170" s="28"/>
    </row>
    <row r="171">
      <c r="A171" s="37">
        <v>45916.0</v>
      </c>
      <c r="B171" s="15" t="s">
        <v>2675</v>
      </c>
      <c r="C171" s="15" t="s">
        <v>2638</v>
      </c>
      <c r="D171" s="33">
        <v>130000.0</v>
      </c>
      <c r="G171" s="28"/>
    </row>
    <row r="172">
      <c r="A172" s="37">
        <v>45917.0</v>
      </c>
      <c r="B172" s="15" t="s">
        <v>304</v>
      </c>
      <c r="C172" s="15" t="s">
        <v>2638</v>
      </c>
      <c r="D172" s="33">
        <v>70000.0</v>
      </c>
      <c r="G172" s="28"/>
    </row>
    <row r="173">
      <c r="A173" s="37">
        <v>45917.0</v>
      </c>
      <c r="B173" s="15" t="s">
        <v>64</v>
      </c>
      <c r="C173" s="15" t="s">
        <v>2638</v>
      </c>
      <c r="D173" s="33">
        <v>80000.0</v>
      </c>
      <c r="G173" s="28"/>
    </row>
    <row r="174">
      <c r="A174" s="37">
        <v>45918.0</v>
      </c>
      <c r="B174" s="15" t="s">
        <v>104</v>
      </c>
      <c r="C174" s="15" t="s">
        <v>2638</v>
      </c>
      <c r="D174" s="33">
        <v>60000.0</v>
      </c>
      <c r="G174" s="28"/>
    </row>
    <row r="175">
      <c r="A175" s="37">
        <v>45918.0</v>
      </c>
      <c r="B175" s="15" t="s">
        <v>205</v>
      </c>
      <c r="C175" s="15" t="s">
        <v>2638</v>
      </c>
      <c r="D175" s="33">
        <v>60000.0</v>
      </c>
      <c r="G175" s="28"/>
    </row>
    <row r="176">
      <c r="A176" s="37">
        <v>45919.0</v>
      </c>
      <c r="B176" s="15" t="s">
        <v>104</v>
      </c>
      <c r="C176" s="15" t="s">
        <v>2638</v>
      </c>
      <c r="D176" s="33">
        <v>60000.0</v>
      </c>
      <c r="G176" s="28"/>
    </row>
    <row r="177">
      <c r="A177" s="37">
        <v>45919.0</v>
      </c>
      <c r="B177" s="15" t="s">
        <v>883</v>
      </c>
      <c r="C177" s="15" t="s">
        <v>2638</v>
      </c>
      <c r="D177" s="33">
        <v>60000.0</v>
      </c>
      <c r="G177" s="28"/>
    </row>
    <row r="178">
      <c r="A178" s="37">
        <v>45919.0</v>
      </c>
      <c r="B178" s="15" t="s">
        <v>1534</v>
      </c>
      <c r="C178" s="15" t="s">
        <v>2638</v>
      </c>
      <c r="D178" s="33">
        <v>50000.0</v>
      </c>
      <c r="G178" s="28"/>
    </row>
    <row r="179">
      <c r="A179" s="37">
        <v>45920.0</v>
      </c>
      <c r="B179" s="15" t="s">
        <v>205</v>
      </c>
      <c r="C179" s="15" t="s">
        <v>2638</v>
      </c>
      <c r="D179" s="33">
        <v>60000.0</v>
      </c>
      <c r="G179" s="28"/>
    </row>
    <row r="180">
      <c r="A180" s="37">
        <v>45923.0</v>
      </c>
      <c r="B180" s="15" t="s">
        <v>304</v>
      </c>
      <c r="C180" s="15" t="s">
        <v>2638</v>
      </c>
      <c r="D180" s="33">
        <v>75000.0</v>
      </c>
      <c r="G180" s="28"/>
    </row>
    <row r="181">
      <c r="A181" s="37">
        <v>45925.0</v>
      </c>
      <c r="B181" s="15" t="s">
        <v>139</v>
      </c>
      <c r="C181" s="15" t="s">
        <v>2638</v>
      </c>
      <c r="D181" s="33">
        <v>60000.0</v>
      </c>
      <c r="G181" s="28"/>
    </row>
    <row r="182">
      <c r="A182" s="37">
        <v>45925.0</v>
      </c>
      <c r="B182" s="15" t="s">
        <v>64</v>
      </c>
      <c r="C182" s="15" t="s">
        <v>2638</v>
      </c>
      <c r="D182" s="33">
        <v>140000.0</v>
      </c>
      <c r="G182" s="28"/>
    </row>
    <row r="183">
      <c r="A183" s="37">
        <v>45925.0</v>
      </c>
      <c r="B183" s="15" t="s">
        <v>1110</v>
      </c>
      <c r="C183" s="15" t="s">
        <v>2638</v>
      </c>
      <c r="D183" s="33">
        <v>130000.0</v>
      </c>
      <c r="G183" s="28"/>
    </row>
    <row r="184">
      <c r="A184" s="37">
        <v>45926.0</v>
      </c>
      <c r="B184" s="15" t="s">
        <v>831</v>
      </c>
      <c r="C184" s="15" t="s">
        <v>2645</v>
      </c>
      <c r="D184" s="33">
        <v>120000.0</v>
      </c>
      <c r="G184" s="28"/>
    </row>
    <row r="185">
      <c r="A185" s="37">
        <v>45927.0</v>
      </c>
      <c r="B185" s="15" t="s">
        <v>104</v>
      </c>
      <c r="C185" s="15" t="s">
        <v>2645</v>
      </c>
      <c r="D185" s="33">
        <v>100000.0</v>
      </c>
      <c r="G185" s="28"/>
    </row>
    <row r="186">
      <c r="A186" s="37">
        <v>45927.0</v>
      </c>
      <c r="B186" s="15" t="s">
        <v>1307</v>
      </c>
      <c r="C186" s="15" t="s">
        <v>2676</v>
      </c>
      <c r="D186" s="33">
        <v>130000.0</v>
      </c>
      <c r="G186" s="28"/>
    </row>
    <row r="187">
      <c r="A187" s="37">
        <v>45928.0</v>
      </c>
      <c r="B187" s="15" t="s">
        <v>205</v>
      </c>
      <c r="C187" s="15" t="s">
        <v>2638</v>
      </c>
      <c r="D187" s="33">
        <v>60000.0</v>
      </c>
      <c r="G187" s="28"/>
    </row>
    <row r="188">
      <c r="A188" s="37">
        <v>45928.0</v>
      </c>
      <c r="B188" s="15" t="s">
        <v>304</v>
      </c>
      <c r="C188" s="15" t="s">
        <v>2638</v>
      </c>
      <c r="D188" s="33">
        <v>70000.0</v>
      </c>
      <c r="G188" s="28"/>
    </row>
    <row r="189">
      <c r="A189" s="37">
        <v>45930.0</v>
      </c>
      <c r="B189" s="15" t="s">
        <v>2675</v>
      </c>
      <c r="C189" s="15" t="s">
        <v>2638</v>
      </c>
      <c r="D189" s="33">
        <v>130000.0</v>
      </c>
      <c r="G189" s="28"/>
    </row>
    <row r="190">
      <c r="B190" s="15" t="s">
        <v>2668</v>
      </c>
      <c r="D190" s="36">
        <f>SUM(D156:D189)</f>
        <v>3185000</v>
      </c>
      <c r="G190" s="28"/>
    </row>
    <row r="191">
      <c r="D191" s="36"/>
      <c r="G191" s="28"/>
    </row>
    <row r="192">
      <c r="A192" s="37">
        <v>45931.0</v>
      </c>
      <c r="B192" s="15" t="s">
        <v>139</v>
      </c>
      <c r="C192" s="15" t="s">
        <v>2641</v>
      </c>
      <c r="D192" s="33">
        <v>170000.0</v>
      </c>
      <c r="G192" s="28"/>
    </row>
    <row r="193">
      <c r="A193" s="37">
        <v>45931.0</v>
      </c>
      <c r="B193" s="15" t="s">
        <v>139</v>
      </c>
      <c r="C193" s="15" t="s">
        <v>2641</v>
      </c>
      <c r="D193" s="33">
        <v>170000.0</v>
      </c>
      <c r="G193" s="28"/>
    </row>
    <row r="194">
      <c r="A194" s="37">
        <v>45932.0</v>
      </c>
      <c r="B194" s="15" t="s">
        <v>205</v>
      </c>
      <c r="C194" s="15" t="s">
        <v>2638</v>
      </c>
      <c r="D194" s="33">
        <v>60000.0</v>
      </c>
      <c r="G194" s="28"/>
    </row>
    <row r="195">
      <c r="A195" s="37">
        <v>45813.0</v>
      </c>
      <c r="B195" s="15" t="s">
        <v>304</v>
      </c>
      <c r="C195" s="15" t="s">
        <v>2638</v>
      </c>
      <c r="D195" s="33">
        <v>75000.0</v>
      </c>
      <c r="G195" s="28"/>
    </row>
    <row r="196">
      <c r="A196" s="37">
        <v>45935.0</v>
      </c>
      <c r="B196" s="15" t="s">
        <v>104</v>
      </c>
      <c r="C196" s="15" t="s">
        <v>2645</v>
      </c>
      <c r="D196" s="33">
        <v>100000.0</v>
      </c>
      <c r="G196" s="28"/>
    </row>
    <row r="197">
      <c r="A197" s="37">
        <v>45935.0</v>
      </c>
      <c r="B197" s="15" t="s">
        <v>863</v>
      </c>
      <c r="C197" s="15" t="s">
        <v>2645</v>
      </c>
      <c r="D197" s="33">
        <v>100000.0</v>
      </c>
      <c r="G197" s="28"/>
    </row>
    <row r="198">
      <c r="A198" s="37">
        <v>45936.0</v>
      </c>
      <c r="B198" s="15" t="s">
        <v>1110</v>
      </c>
      <c r="C198" s="15" t="s">
        <v>2638</v>
      </c>
      <c r="D198" s="33">
        <v>130000.0</v>
      </c>
      <c r="G198" s="28"/>
    </row>
    <row r="199">
      <c r="A199" s="37">
        <v>45937.0</v>
      </c>
      <c r="B199" s="15" t="s">
        <v>883</v>
      </c>
      <c r="C199" s="15" t="s">
        <v>2638</v>
      </c>
      <c r="D199" s="33">
        <v>60000.0</v>
      </c>
      <c r="G199" s="28"/>
    </row>
    <row r="200">
      <c r="A200" s="37">
        <v>45937.0</v>
      </c>
      <c r="B200" s="15" t="s">
        <v>894</v>
      </c>
      <c r="C200" s="15" t="s">
        <v>2645</v>
      </c>
      <c r="D200" s="33">
        <v>75000.0</v>
      </c>
      <c r="G200" s="28"/>
    </row>
    <row r="201">
      <c r="A201" s="37">
        <v>45937.0</v>
      </c>
      <c r="B201" s="15" t="s">
        <v>2675</v>
      </c>
      <c r="C201" s="15" t="s">
        <v>2638</v>
      </c>
      <c r="D201" s="33">
        <v>130000.0</v>
      </c>
      <c r="G201" s="28"/>
    </row>
    <row r="202">
      <c r="A202" s="37">
        <v>45938.0</v>
      </c>
      <c r="B202" s="15" t="s">
        <v>64</v>
      </c>
      <c r="C202" s="15" t="s">
        <v>2645</v>
      </c>
      <c r="D202" s="33">
        <v>140000.0</v>
      </c>
      <c r="G202" s="28"/>
    </row>
    <row r="203">
      <c r="A203" s="35">
        <v>45940.0</v>
      </c>
      <c r="B203" s="15" t="s">
        <v>104</v>
      </c>
      <c r="C203" s="15" t="s">
        <v>2641</v>
      </c>
      <c r="D203" s="33">
        <v>170000.0</v>
      </c>
      <c r="G203" s="28"/>
    </row>
    <row r="204">
      <c r="A204" s="35">
        <v>45940.0</v>
      </c>
      <c r="B204" s="15" t="s">
        <v>64</v>
      </c>
      <c r="C204" s="15" t="s">
        <v>2645</v>
      </c>
      <c r="D204" s="33">
        <v>140000.0</v>
      </c>
      <c r="G204" s="28"/>
    </row>
    <row r="205">
      <c r="A205" s="35">
        <v>45942.0</v>
      </c>
      <c r="B205" s="15" t="s">
        <v>304</v>
      </c>
      <c r="C205" s="15" t="s">
        <v>2641</v>
      </c>
      <c r="D205" s="33">
        <v>230000.0</v>
      </c>
      <c r="G205" s="28"/>
    </row>
    <row r="206">
      <c r="A206" s="35">
        <v>45943.0</v>
      </c>
      <c r="B206" s="15" t="s">
        <v>952</v>
      </c>
      <c r="C206" s="15" t="s">
        <v>2641</v>
      </c>
      <c r="D206" s="33">
        <v>100000.0</v>
      </c>
      <c r="G206" s="28"/>
    </row>
    <row r="207">
      <c r="A207" s="35">
        <v>45943.0</v>
      </c>
      <c r="B207" s="15" t="s">
        <v>104</v>
      </c>
      <c r="C207" s="15" t="s">
        <v>2645</v>
      </c>
      <c r="D207" s="33">
        <v>100000.0</v>
      </c>
      <c r="G207" s="28"/>
    </row>
    <row r="208">
      <c r="A208" s="35">
        <v>45944.0</v>
      </c>
      <c r="B208" s="15" t="s">
        <v>1307</v>
      </c>
      <c r="C208" s="15" t="s">
        <v>2638</v>
      </c>
      <c r="D208" s="33">
        <v>100000.0</v>
      </c>
      <c r="G208" s="28"/>
    </row>
    <row r="209">
      <c r="A209" s="35">
        <v>45946.0</v>
      </c>
      <c r="B209" s="15" t="s">
        <v>883</v>
      </c>
      <c r="C209" s="15" t="s">
        <v>2638</v>
      </c>
      <c r="D209" s="33">
        <v>60000.0</v>
      </c>
      <c r="G209" s="28"/>
    </row>
    <row r="210">
      <c r="A210" s="35">
        <v>45948.0</v>
      </c>
      <c r="B210" s="15" t="s">
        <v>2675</v>
      </c>
      <c r="C210" s="15" t="s">
        <v>2645</v>
      </c>
      <c r="D210" s="33">
        <v>240000.0</v>
      </c>
      <c r="G210" s="28"/>
    </row>
    <row r="211">
      <c r="A211" s="35">
        <v>45948.0</v>
      </c>
      <c r="B211" s="15" t="s">
        <v>205</v>
      </c>
      <c r="C211" s="15" t="s">
        <v>2641</v>
      </c>
      <c r="D211" s="33">
        <v>170000.0</v>
      </c>
      <c r="G211" s="28"/>
    </row>
    <row r="212">
      <c r="A212" s="35">
        <v>45948.0</v>
      </c>
      <c r="B212" s="15" t="s">
        <v>831</v>
      </c>
      <c r="C212" s="15" t="s">
        <v>2645</v>
      </c>
      <c r="D212" s="33">
        <v>120000.0</v>
      </c>
      <c r="G212" s="28"/>
    </row>
    <row r="213">
      <c r="A213" s="35">
        <v>45949.0</v>
      </c>
      <c r="B213" s="15" t="s">
        <v>304</v>
      </c>
      <c r="C213" s="15" t="s">
        <v>2645</v>
      </c>
      <c r="D213" s="33">
        <v>130000.0</v>
      </c>
      <c r="G213" s="28"/>
    </row>
    <row r="214">
      <c r="A214" s="35">
        <v>45949.0</v>
      </c>
      <c r="B214" s="15" t="s">
        <v>1110</v>
      </c>
      <c r="C214" s="15" t="s">
        <v>2645</v>
      </c>
      <c r="D214" s="33">
        <v>240000.0</v>
      </c>
      <c r="G214" s="28"/>
    </row>
    <row r="215">
      <c r="A215" s="35">
        <v>45950.0</v>
      </c>
      <c r="B215" s="15" t="s">
        <v>2674</v>
      </c>
      <c r="C215" s="15" t="s">
        <v>2638</v>
      </c>
      <c r="D215" s="33">
        <v>75000.0</v>
      </c>
      <c r="G215" s="28"/>
    </row>
    <row r="216">
      <c r="A216" s="35">
        <v>45953.0</v>
      </c>
      <c r="B216" s="15" t="s">
        <v>104</v>
      </c>
      <c r="C216" s="15" t="s">
        <v>2641</v>
      </c>
      <c r="D216" s="33">
        <f>170000-(170000*5%)</f>
        <v>161500</v>
      </c>
      <c r="G216" s="28"/>
    </row>
    <row r="217">
      <c r="A217" s="35">
        <v>45955.0</v>
      </c>
      <c r="B217" s="15" t="s">
        <v>64</v>
      </c>
      <c r="C217" s="15" t="s">
        <v>2677</v>
      </c>
      <c r="D217" s="33">
        <v>80000.0</v>
      </c>
      <c r="G217" s="28"/>
    </row>
    <row r="218">
      <c r="A218" s="15" t="s">
        <v>2678</v>
      </c>
      <c r="B218" s="15" t="s">
        <v>1307</v>
      </c>
      <c r="C218" s="15" t="s">
        <v>2645</v>
      </c>
      <c r="D218" s="33">
        <f>180000-(180000*5%)</f>
        <v>171000</v>
      </c>
      <c r="G218" s="28"/>
    </row>
    <row r="219">
      <c r="A219" s="35">
        <v>45955.0</v>
      </c>
      <c r="B219" s="15" t="s">
        <v>104</v>
      </c>
      <c r="C219" s="15" t="s">
        <v>2645</v>
      </c>
      <c r="D219" s="36">
        <f>100000-(100000*5%)</f>
        <v>95000</v>
      </c>
      <c r="G219" s="28"/>
    </row>
    <row r="220">
      <c r="A220" s="35">
        <v>45955.0</v>
      </c>
      <c r="B220" s="15" t="s">
        <v>64</v>
      </c>
      <c r="C220" s="15" t="s">
        <v>2645</v>
      </c>
      <c r="D220" s="36">
        <f>140000-(140000*5%)</f>
        <v>133000</v>
      </c>
      <c r="G220" s="28"/>
    </row>
    <row r="221">
      <c r="A221" s="35">
        <v>45957.0</v>
      </c>
      <c r="B221" s="15" t="s">
        <v>104</v>
      </c>
      <c r="C221" s="15" t="s">
        <v>2645</v>
      </c>
      <c r="D221" s="33">
        <v>100000.0</v>
      </c>
      <c r="G221" s="28"/>
    </row>
    <row r="222">
      <c r="A222" s="35">
        <v>45961.0</v>
      </c>
      <c r="B222" s="15" t="s">
        <v>883</v>
      </c>
      <c r="C222" s="15" t="s">
        <v>2645</v>
      </c>
      <c r="D222" s="33">
        <v>100000.0</v>
      </c>
      <c r="G222" s="28"/>
    </row>
    <row r="223">
      <c r="B223" s="15" t="s">
        <v>2668</v>
      </c>
      <c r="D223" s="36">
        <f>SUM(D192:D222)</f>
        <v>3925500</v>
      </c>
      <c r="G223" s="28"/>
    </row>
    <row r="224">
      <c r="D224" s="36"/>
      <c r="G224" s="28"/>
    </row>
    <row r="225">
      <c r="A225" s="35">
        <v>45962.0</v>
      </c>
      <c r="B225" s="15" t="s">
        <v>104</v>
      </c>
      <c r="C225" s="15" t="s">
        <v>2638</v>
      </c>
      <c r="D225" s="33">
        <v>60000.0</v>
      </c>
      <c r="G225" s="28"/>
    </row>
    <row r="226">
      <c r="A226" s="35">
        <v>45962.0</v>
      </c>
      <c r="B226" s="15" t="s">
        <v>64</v>
      </c>
      <c r="C226" s="15" t="s">
        <v>2638</v>
      </c>
      <c r="D226" s="33">
        <v>80000.0</v>
      </c>
      <c r="G226" s="28"/>
    </row>
    <row r="227">
      <c r="A227" s="35">
        <v>45963.0</v>
      </c>
      <c r="B227" s="15" t="s">
        <v>1003</v>
      </c>
      <c r="C227" s="15" t="s">
        <v>2638</v>
      </c>
      <c r="D227" s="33">
        <v>130000.0</v>
      </c>
      <c r="G227" s="28"/>
    </row>
    <row r="228">
      <c r="A228" s="35">
        <v>45966.0</v>
      </c>
      <c r="B228" s="15" t="s">
        <v>304</v>
      </c>
      <c r="C228" s="15" t="s">
        <v>2645</v>
      </c>
      <c r="D228" s="33">
        <v>130000.0</v>
      </c>
      <c r="G228" s="28"/>
    </row>
    <row r="229">
      <c r="A229" s="35">
        <v>45967.0</v>
      </c>
      <c r="B229" s="15" t="s">
        <v>104</v>
      </c>
      <c r="C229" s="15" t="s">
        <v>2645</v>
      </c>
      <c r="D229" s="33">
        <v>100000.0</v>
      </c>
      <c r="G229" s="28"/>
    </row>
    <row r="230">
      <c r="A230" s="35">
        <v>45968.0</v>
      </c>
      <c r="B230" s="15" t="s">
        <v>2679</v>
      </c>
      <c r="C230" s="15" t="s">
        <v>2645</v>
      </c>
      <c r="D230" s="33">
        <v>240000.0</v>
      </c>
      <c r="G230" s="28"/>
    </row>
    <row r="231">
      <c r="A231" s="35">
        <v>45968.0</v>
      </c>
      <c r="B231" s="15" t="s">
        <v>139</v>
      </c>
      <c r="C231" s="15" t="s">
        <v>2645</v>
      </c>
      <c r="D231" s="33">
        <v>100000.0</v>
      </c>
      <c r="G231" s="28"/>
    </row>
    <row r="232">
      <c r="A232" s="35">
        <v>45969.0</v>
      </c>
      <c r="B232" s="15" t="s">
        <v>1101</v>
      </c>
      <c r="C232" s="15" t="s">
        <v>2638</v>
      </c>
      <c r="D232" s="33">
        <v>80000.0</v>
      </c>
      <c r="G232" s="28"/>
    </row>
    <row r="233">
      <c r="A233" s="35">
        <v>45970.0</v>
      </c>
      <c r="B233" s="15" t="s">
        <v>64</v>
      </c>
      <c r="C233" s="15" t="s">
        <v>2638</v>
      </c>
      <c r="D233" s="33">
        <v>80000.0</v>
      </c>
      <c r="G233" s="28"/>
    </row>
    <row r="234">
      <c r="A234" s="35">
        <v>45970.0</v>
      </c>
      <c r="B234" s="15" t="s">
        <v>104</v>
      </c>
      <c r="C234" s="15" t="s">
        <v>2638</v>
      </c>
      <c r="D234" s="33">
        <v>60000.0</v>
      </c>
      <c r="G234" s="28"/>
    </row>
    <row r="235">
      <c r="A235" s="35">
        <v>45970.0</v>
      </c>
      <c r="B235" s="15" t="s">
        <v>64</v>
      </c>
      <c r="C235" s="15" t="s">
        <v>2638</v>
      </c>
      <c r="D235" s="33">
        <v>80000.0</v>
      </c>
      <c r="G235" s="28"/>
    </row>
    <row r="236">
      <c r="A236" s="35">
        <v>45970.0</v>
      </c>
      <c r="B236" s="15" t="s">
        <v>104</v>
      </c>
      <c r="C236" s="15" t="s">
        <v>2645</v>
      </c>
      <c r="D236" s="33">
        <v>100000.0</v>
      </c>
      <c r="G236" s="28"/>
    </row>
    <row r="237">
      <c r="A237" s="35">
        <v>45971.0</v>
      </c>
      <c r="B237" s="15" t="s">
        <v>104</v>
      </c>
      <c r="C237" s="15" t="s">
        <v>2638</v>
      </c>
      <c r="D237" s="33">
        <v>60000.0</v>
      </c>
      <c r="G237" s="28"/>
    </row>
    <row r="238">
      <c r="A238" s="35">
        <v>45971.0</v>
      </c>
      <c r="B238" s="15" t="s">
        <v>2590</v>
      </c>
      <c r="C238" s="15" t="s">
        <v>2638</v>
      </c>
      <c r="D238" s="33">
        <v>130000.0</v>
      </c>
      <c r="G238" s="28"/>
    </row>
    <row r="239">
      <c r="A239" s="35">
        <v>45973.0</v>
      </c>
      <c r="B239" s="15" t="s">
        <v>1003</v>
      </c>
      <c r="C239" s="15" t="s">
        <v>2641</v>
      </c>
      <c r="D239" s="33">
        <v>450000.0</v>
      </c>
      <c r="G239" s="28"/>
    </row>
    <row r="240">
      <c r="A240" s="35">
        <v>45977.0</v>
      </c>
      <c r="B240" s="15" t="s">
        <v>304</v>
      </c>
      <c r="C240" s="15" t="s">
        <v>2645</v>
      </c>
      <c r="D240" s="33">
        <v>130000.0</v>
      </c>
      <c r="G240" s="28"/>
    </row>
    <row r="241">
      <c r="A241" s="35">
        <v>45978.0</v>
      </c>
      <c r="B241" s="15" t="s">
        <v>64</v>
      </c>
      <c r="C241" s="15" t="s">
        <v>2638</v>
      </c>
      <c r="D241" s="33">
        <v>80000.0</v>
      </c>
      <c r="G241" s="28"/>
    </row>
    <row r="242">
      <c r="A242" s="35">
        <v>45978.0</v>
      </c>
      <c r="B242" s="15" t="s">
        <v>205</v>
      </c>
      <c r="C242" s="15" t="s">
        <v>2638</v>
      </c>
      <c r="D242" s="33">
        <v>60000.0</v>
      </c>
      <c r="G242" s="28"/>
    </row>
    <row r="243">
      <c r="A243" s="35">
        <v>45978.0</v>
      </c>
      <c r="B243" s="15" t="s">
        <v>64</v>
      </c>
      <c r="C243" s="15" t="s">
        <v>2645</v>
      </c>
      <c r="D243" s="33">
        <v>140000.0</v>
      </c>
      <c r="G243" s="28"/>
    </row>
    <row r="244">
      <c r="A244" s="35">
        <v>45980.0</v>
      </c>
      <c r="B244" s="15" t="s">
        <v>1307</v>
      </c>
      <c r="C244" s="15" t="s">
        <v>2638</v>
      </c>
      <c r="D244" s="33">
        <v>100000.0</v>
      </c>
      <c r="G244" s="28"/>
    </row>
    <row r="245">
      <c r="A245" s="35">
        <v>45980.0</v>
      </c>
      <c r="B245" s="15" t="s">
        <v>104</v>
      </c>
      <c r="C245" s="15" t="s">
        <v>2638</v>
      </c>
      <c r="D245" s="33">
        <v>60000.0</v>
      </c>
      <c r="G245" s="28"/>
    </row>
    <row r="246">
      <c r="A246" s="35">
        <v>45981.0</v>
      </c>
      <c r="B246" s="15" t="s">
        <v>985</v>
      </c>
      <c r="C246" s="15" t="s">
        <v>2638</v>
      </c>
      <c r="D246" s="33">
        <v>70000.0</v>
      </c>
      <c r="G246" s="28"/>
    </row>
    <row r="247">
      <c r="A247" s="35">
        <v>45981.0</v>
      </c>
      <c r="B247" s="15" t="s">
        <v>2680</v>
      </c>
      <c r="C247" s="15" t="s">
        <v>2645</v>
      </c>
      <c r="D247" s="33">
        <v>240000.0</v>
      </c>
      <c r="G247" s="28"/>
    </row>
    <row r="248">
      <c r="A248" s="35">
        <v>45981.0</v>
      </c>
      <c r="B248" s="15" t="s">
        <v>1101</v>
      </c>
      <c r="C248" s="15" t="s">
        <v>2638</v>
      </c>
      <c r="D248" s="33">
        <v>80000.0</v>
      </c>
      <c r="G248" s="28"/>
    </row>
    <row r="249">
      <c r="A249" s="35">
        <v>45982.0</v>
      </c>
      <c r="B249" s="15" t="s">
        <v>2590</v>
      </c>
      <c r="C249" s="15" t="s">
        <v>2645</v>
      </c>
      <c r="D249" s="33">
        <v>240000.0</v>
      </c>
      <c r="G249" s="28"/>
    </row>
    <row r="250">
      <c r="A250" s="35">
        <v>45982.0</v>
      </c>
      <c r="B250" s="15" t="s">
        <v>104</v>
      </c>
      <c r="C250" s="15" t="s">
        <v>2638</v>
      </c>
      <c r="D250" s="33">
        <v>60000.0</v>
      </c>
      <c r="G250" s="28"/>
    </row>
    <row r="251">
      <c r="A251" s="35">
        <v>47079.0</v>
      </c>
      <c r="B251" s="15" t="s">
        <v>2681</v>
      </c>
      <c r="C251" s="15" t="s">
        <v>2638</v>
      </c>
      <c r="D251" s="33">
        <v>60000.0</v>
      </c>
      <c r="G251" s="28"/>
    </row>
    <row r="252">
      <c r="A252" s="35">
        <v>45985.0</v>
      </c>
      <c r="B252" s="15" t="s">
        <v>104</v>
      </c>
      <c r="C252" s="15" t="s">
        <v>2645</v>
      </c>
      <c r="D252" s="33">
        <v>100000.0</v>
      </c>
      <c r="G252" s="28"/>
    </row>
    <row r="253">
      <c r="A253" s="35">
        <v>45986.0</v>
      </c>
      <c r="B253" s="15" t="s">
        <v>104</v>
      </c>
      <c r="C253" s="15" t="s">
        <v>2638</v>
      </c>
      <c r="D253" s="33">
        <v>60000.0</v>
      </c>
      <c r="G253" s="28"/>
    </row>
    <row r="254">
      <c r="A254" s="35">
        <v>45986.0</v>
      </c>
      <c r="B254" s="15" t="s">
        <v>2660</v>
      </c>
      <c r="C254" s="15" t="s">
        <v>2645</v>
      </c>
      <c r="D254" s="33">
        <v>80000.0</v>
      </c>
      <c r="G254" s="28"/>
    </row>
    <row r="255">
      <c r="A255" s="35">
        <v>45986.0</v>
      </c>
      <c r="B255" s="15" t="s">
        <v>104</v>
      </c>
      <c r="C255" s="15" t="s">
        <v>2638</v>
      </c>
      <c r="D255" s="33">
        <v>60000.0</v>
      </c>
      <c r="G255" s="28"/>
    </row>
    <row r="256">
      <c r="A256" s="35">
        <v>45987.0</v>
      </c>
      <c r="B256" s="15" t="s">
        <v>831</v>
      </c>
      <c r="C256" s="15" t="s">
        <v>2638</v>
      </c>
      <c r="D256" s="33">
        <v>70000.0</v>
      </c>
      <c r="G256" s="28"/>
    </row>
    <row r="257">
      <c r="A257" s="35">
        <v>45989.0</v>
      </c>
      <c r="B257" s="15" t="s">
        <v>2650</v>
      </c>
      <c r="C257" s="15" t="s">
        <v>2638</v>
      </c>
      <c r="D257" s="33">
        <v>75000.0</v>
      </c>
      <c r="G257" s="28"/>
    </row>
    <row r="258">
      <c r="A258" s="35">
        <v>45990.0</v>
      </c>
      <c r="B258" s="15" t="s">
        <v>104</v>
      </c>
      <c r="C258" s="15" t="s">
        <v>2645</v>
      </c>
      <c r="D258" s="33">
        <v>100000.0</v>
      </c>
      <c r="G258" s="28"/>
    </row>
    <row r="259">
      <c r="A259" s="35">
        <v>45990.0</v>
      </c>
      <c r="B259" s="15" t="s">
        <v>104</v>
      </c>
      <c r="C259" s="15" t="s">
        <v>2641</v>
      </c>
      <c r="D259" s="33">
        <v>170000.0</v>
      </c>
      <c r="G259" s="28"/>
    </row>
    <row r="260">
      <c r="B260" s="15" t="s">
        <v>2668</v>
      </c>
      <c r="D260" s="36">
        <f>SUM(D225:D259)</f>
        <v>3915000</v>
      </c>
      <c r="G260" s="28"/>
    </row>
    <row r="261">
      <c r="D261" s="36"/>
      <c r="G261" s="28"/>
    </row>
    <row r="262">
      <c r="A262" s="35">
        <v>45992.0</v>
      </c>
      <c r="B262" s="15" t="s">
        <v>24</v>
      </c>
      <c r="C262" s="15" t="s">
        <v>2638</v>
      </c>
      <c r="D262" s="33">
        <v>80000.0</v>
      </c>
      <c r="G262" s="28"/>
    </row>
    <row r="263">
      <c r="A263" s="35">
        <v>45992.0</v>
      </c>
      <c r="B263" s="15" t="s">
        <v>24</v>
      </c>
      <c r="C263" s="15" t="s">
        <v>2645</v>
      </c>
      <c r="D263" s="33">
        <v>140000.0</v>
      </c>
      <c r="G263" s="28"/>
    </row>
    <row r="264">
      <c r="A264" s="37">
        <v>45993.0</v>
      </c>
      <c r="B264" s="15" t="s">
        <v>205</v>
      </c>
      <c r="C264" s="15" t="s">
        <v>2638</v>
      </c>
      <c r="D264" s="33">
        <v>60000.0</v>
      </c>
      <c r="G264" s="28"/>
    </row>
    <row r="265">
      <c r="A265" s="37">
        <v>45995.0</v>
      </c>
      <c r="B265" s="15" t="s">
        <v>985</v>
      </c>
      <c r="C265" s="15" t="s">
        <v>2638</v>
      </c>
      <c r="D265" s="33">
        <v>70000.0</v>
      </c>
      <c r="G265" s="28"/>
    </row>
    <row r="266">
      <c r="A266" s="37">
        <v>45996.0</v>
      </c>
      <c r="B266" s="15" t="s">
        <v>2650</v>
      </c>
      <c r="C266" s="15" t="s">
        <v>2638</v>
      </c>
      <c r="D266" s="33">
        <v>75000.0</v>
      </c>
      <c r="G266" s="28"/>
    </row>
    <row r="267">
      <c r="A267" s="37">
        <v>45999.0</v>
      </c>
      <c r="B267" s="15" t="s">
        <v>104</v>
      </c>
      <c r="C267" s="15" t="s">
        <v>2638</v>
      </c>
      <c r="D267" s="33">
        <v>60000.0</v>
      </c>
      <c r="G267" s="28"/>
    </row>
    <row r="268">
      <c r="A268" s="35">
        <v>46002.0</v>
      </c>
      <c r="B268" s="15" t="s">
        <v>1307</v>
      </c>
      <c r="C268" s="15" t="s">
        <v>2645</v>
      </c>
      <c r="D268" s="33">
        <v>180000.0</v>
      </c>
      <c r="G268" s="28"/>
    </row>
    <row r="269">
      <c r="A269" s="35">
        <v>46002.0</v>
      </c>
      <c r="B269" s="15" t="s">
        <v>1101</v>
      </c>
      <c r="C269" s="15" t="s">
        <v>2638</v>
      </c>
      <c r="D269" s="33">
        <v>80000.0</v>
      </c>
      <c r="G269" s="28"/>
    </row>
    <row r="270">
      <c r="A270" s="35">
        <v>46003.0</v>
      </c>
      <c r="B270" s="15" t="s">
        <v>2619</v>
      </c>
      <c r="C270" s="15" t="s">
        <v>2638</v>
      </c>
      <c r="D270" s="33">
        <v>130000.0</v>
      </c>
      <c r="G270" s="28"/>
    </row>
    <row r="271">
      <c r="A271" s="35">
        <v>46004.0</v>
      </c>
      <c r="B271" s="15" t="s">
        <v>193</v>
      </c>
      <c r="C271" s="15" t="s">
        <v>2641</v>
      </c>
      <c r="D271" s="33">
        <v>170000.0</v>
      </c>
      <c r="G271" s="28"/>
    </row>
    <row r="272">
      <c r="A272" s="35">
        <v>47101.0</v>
      </c>
      <c r="B272" s="15" t="s">
        <v>2640</v>
      </c>
      <c r="C272" s="15" t="s">
        <v>2638</v>
      </c>
      <c r="D272" s="33">
        <v>60000.0</v>
      </c>
      <c r="G272" s="28"/>
    </row>
    <row r="273">
      <c r="A273" s="35">
        <v>47101.0</v>
      </c>
      <c r="B273" s="15" t="s">
        <v>2640</v>
      </c>
      <c r="C273" s="15" t="s">
        <v>2638</v>
      </c>
      <c r="D273" s="33">
        <v>60000.0</v>
      </c>
      <c r="G273" s="28"/>
    </row>
    <row r="274">
      <c r="A274" s="35">
        <v>46005.0</v>
      </c>
      <c r="B274" s="15" t="s">
        <v>24</v>
      </c>
      <c r="C274" s="15" t="s">
        <v>2641</v>
      </c>
      <c r="D274" s="33">
        <v>250000.0</v>
      </c>
      <c r="G274" s="28"/>
    </row>
    <row r="275">
      <c r="A275" s="35">
        <v>46005.0</v>
      </c>
      <c r="B275" s="15" t="s">
        <v>1730</v>
      </c>
      <c r="C275" s="15" t="s">
        <v>2638</v>
      </c>
      <c r="D275" s="33">
        <v>130000.0</v>
      </c>
      <c r="G275" s="28"/>
    </row>
    <row r="276">
      <c r="A276" s="35">
        <v>46006.0</v>
      </c>
      <c r="B276" s="15" t="s">
        <v>104</v>
      </c>
      <c r="C276" s="15" t="s">
        <v>2645</v>
      </c>
      <c r="D276" s="33">
        <v>100000.0</v>
      </c>
      <c r="G276" s="28"/>
    </row>
    <row r="277">
      <c r="A277" s="35">
        <v>46007.0</v>
      </c>
      <c r="B277" s="15" t="s">
        <v>139</v>
      </c>
      <c r="C277" s="15" t="s">
        <v>2638</v>
      </c>
      <c r="D277" s="33">
        <v>60000.0</v>
      </c>
      <c r="G277" s="28"/>
    </row>
    <row r="278">
      <c r="A278" s="35">
        <v>46008.0</v>
      </c>
      <c r="B278" s="15" t="s">
        <v>883</v>
      </c>
      <c r="C278" s="15" t="s">
        <v>2638</v>
      </c>
      <c r="D278" s="33">
        <v>50000.0</v>
      </c>
      <c r="G278" s="28"/>
    </row>
    <row r="279">
      <c r="A279" s="35">
        <v>46013.0</v>
      </c>
      <c r="B279" s="15" t="s">
        <v>64</v>
      </c>
      <c r="C279" s="15" t="s">
        <v>2645</v>
      </c>
      <c r="D279" s="33">
        <v>140000.0</v>
      </c>
      <c r="G279" s="28"/>
    </row>
    <row r="280">
      <c r="A280" s="35">
        <v>46013.0</v>
      </c>
      <c r="B280" s="15" t="s">
        <v>2619</v>
      </c>
      <c r="C280" s="15" t="s">
        <v>2645</v>
      </c>
      <c r="D280" s="33">
        <v>240000.0</v>
      </c>
      <c r="G280" s="28"/>
    </row>
    <row r="281">
      <c r="A281" s="35">
        <v>46014.0</v>
      </c>
      <c r="B281" s="15" t="s">
        <v>824</v>
      </c>
      <c r="C281" s="15" t="s">
        <v>2638</v>
      </c>
      <c r="D281" s="33">
        <v>50000.0</v>
      </c>
      <c r="G281" s="28"/>
    </row>
    <row r="282">
      <c r="A282" s="35">
        <v>46016.0</v>
      </c>
      <c r="B282" s="15" t="s">
        <v>104</v>
      </c>
      <c r="C282" s="15" t="s">
        <v>2638</v>
      </c>
      <c r="D282" s="33">
        <v>60000.0</v>
      </c>
      <c r="G282" s="28"/>
    </row>
    <row r="283">
      <c r="A283" s="35">
        <v>46021.0</v>
      </c>
      <c r="B283" s="15" t="s">
        <v>1110</v>
      </c>
      <c r="C283" s="15" t="s">
        <v>2638</v>
      </c>
      <c r="D283" s="33">
        <v>130000.0</v>
      </c>
      <c r="G283" s="28"/>
    </row>
    <row r="284">
      <c r="A284" s="35">
        <v>46022.0</v>
      </c>
      <c r="B284" s="15" t="s">
        <v>1101</v>
      </c>
      <c r="C284" s="15" t="s">
        <v>2641</v>
      </c>
      <c r="D284" s="33">
        <v>250000.0</v>
      </c>
      <c r="G284" s="28"/>
    </row>
    <row r="285">
      <c r="B285" s="15" t="s">
        <v>2668</v>
      </c>
      <c r="D285" s="36">
        <f>SUM(D262:D284)</f>
        <v>2625000</v>
      </c>
      <c r="G285" s="28"/>
    </row>
    <row r="286">
      <c r="D286" s="36"/>
      <c r="G286" s="28"/>
    </row>
    <row r="287">
      <c r="B287" s="15" t="s">
        <v>2682</v>
      </c>
      <c r="D287" s="36">
        <f>D12+D24+D37+D54+D79+D100+D128+D154+D190+D223+D260+D285</f>
        <v>29855500</v>
      </c>
      <c r="G287" s="28"/>
    </row>
    <row r="288">
      <c r="D288" s="36"/>
      <c r="G288" s="28"/>
    </row>
    <row r="289">
      <c r="A289" s="35">
        <v>46023.0</v>
      </c>
      <c r="B289" s="15" t="s">
        <v>1110</v>
      </c>
      <c r="C289" s="15" t="s">
        <v>2638</v>
      </c>
      <c r="D289" s="33">
        <v>130000.0</v>
      </c>
      <c r="G289" s="28"/>
    </row>
    <row r="290">
      <c r="A290" s="35">
        <v>46028.0</v>
      </c>
      <c r="B290" s="15" t="s">
        <v>1307</v>
      </c>
      <c r="C290" s="15" t="s">
        <v>2641</v>
      </c>
      <c r="D290" s="33">
        <v>310000.0</v>
      </c>
      <c r="G290" s="28"/>
    </row>
    <row r="291">
      <c r="A291" s="35">
        <v>46028.0</v>
      </c>
      <c r="B291" s="15" t="s">
        <v>304</v>
      </c>
      <c r="C291" s="15" t="s">
        <v>2641</v>
      </c>
      <c r="D291" s="33">
        <v>230000.0</v>
      </c>
      <c r="G291" s="28"/>
    </row>
    <row r="292">
      <c r="A292" s="35">
        <v>46028.0</v>
      </c>
      <c r="B292" s="15" t="s">
        <v>64</v>
      </c>
      <c r="C292" s="15" t="s">
        <v>2641</v>
      </c>
      <c r="D292" s="33">
        <v>250000.0</v>
      </c>
      <c r="G292" s="28"/>
    </row>
    <row r="293">
      <c r="A293" s="35">
        <v>46028.0</v>
      </c>
      <c r="B293" s="15" t="s">
        <v>304</v>
      </c>
      <c r="C293" s="15" t="s">
        <v>2638</v>
      </c>
      <c r="D293" s="33">
        <v>75000.0</v>
      </c>
      <c r="G293" s="28"/>
    </row>
    <row r="294">
      <c r="A294" s="35">
        <v>46029.0</v>
      </c>
      <c r="B294" s="15" t="s">
        <v>193</v>
      </c>
      <c r="C294" s="15" t="s">
        <v>2641</v>
      </c>
      <c r="D294" s="33">
        <v>170000.0</v>
      </c>
      <c r="G294" s="28"/>
    </row>
    <row r="295">
      <c r="A295" s="37">
        <v>46034.0</v>
      </c>
      <c r="B295" s="15" t="s">
        <v>2675</v>
      </c>
      <c r="C295" s="15" t="s">
        <v>2638</v>
      </c>
      <c r="D295" s="33">
        <v>130000.0</v>
      </c>
      <c r="G295" s="28"/>
    </row>
    <row r="296">
      <c r="A296" s="37">
        <v>46035.0</v>
      </c>
      <c r="B296" s="15" t="s">
        <v>104</v>
      </c>
      <c r="C296" s="15" t="s">
        <v>2641</v>
      </c>
      <c r="D296" s="33">
        <v>170000.0</v>
      </c>
      <c r="G296" s="28"/>
    </row>
    <row r="297">
      <c r="A297" s="37">
        <v>46035.0</v>
      </c>
      <c r="B297" s="15" t="s">
        <v>304</v>
      </c>
      <c r="C297" s="15" t="s">
        <v>2641</v>
      </c>
      <c r="D297" s="33">
        <v>230000.0</v>
      </c>
      <c r="G297" s="28"/>
    </row>
    <row r="298">
      <c r="A298" s="37">
        <v>46035.0</v>
      </c>
      <c r="B298" s="15" t="s">
        <v>104</v>
      </c>
      <c r="C298" s="15" t="s">
        <v>2645</v>
      </c>
      <c r="D298" s="33">
        <v>100000.0</v>
      </c>
      <c r="G298" s="28"/>
    </row>
    <row r="299">
      <c r="A299" s="37">
        <v>46035.0</v>
      </c>
      <c r="B299" s="15" t="s">
        <v>205</v>
      </c>
      <c r="C299" s="15" t="s">
        <v>2645</v>
      </c>
      <c r="D299" s="33">
        <v>100000.0</v>
      </c>
      <c r="G299" s="28"/>
    </row>
    <row r="300">
      <c r="A300" s="37">
        <v>46036.0</v>
      </c>
      <c r="B300" s="15" t="s">
        <v>64</v>
      </c>
      <c r="C300" s="15" t="s">
        <v>2645</v>
      </c>
      <c r="D300" s="33">
        <v>140000.0</v>
      </c>
      <c r="G300" s="28"/>
    </row>
    <row r="301">
      <c r="A301" s="37">
        <v>46037.0</v>
      </c>
      <c r="B301" s="15" t="s">
        <v>883</v>
      </c>
      <c r="C301" s="15" t="s">
        <v>2641</v>
      </c>
      <c r="D301" s="33">
        <v>170000.0</v>
      </c>
      <c r="G301" s="28"/>
    </row>
    <row r="302">
      <c r="A302" s="37">
        <v>46037.0</v>
      </c>
      <c r="B302" s="15" t="s">
        <v>952</v>
      </c>
      <c r="C302" s="15" t="s">
        <v>2645</v>
      </c>
      <c r="D302" s="33">
        <v>180000.0</v>
      </c>
      <c r="G302" s="28"/>
    </row>
    <row r="303">
      <c r="A303" s="37">
        <v>46037.0</v>
      </c>
      <c r="B303" s="15" t="s">
        <v>104</v>
      </c>
      <c r="C303" s="15" t="s">
        <v>2638</v>
      </c>
      <c r="D303" s="33">
        <v>60000.0</v>
      </c>
      <c r="G303" s="28"/>
    </row>
    <row r="304">
      <c r="A304" s="37">
        <v>46037.0</v>
      </c>
      <c r="B304" s="15" t="s">
        <v>1110</v>
      </c>
      <c r="C304" s="15" t="s">
        <v>2638</v>
      </c>
      <c r="D304" s="33">
        <v>130000.0</v>
      </c>
      <c r="G304" s="28"/>
    </row>
    <row r="305">
      <c r="A305" s="37">
        <v>46038.0</v>
      </c>
      <c r="B305" s="15" t="s">
        <v>104</v>
      </c>
      <c r="C305" s="15" t="s">
        <v>2638</v>
      </c>
      <c r="D305" s="33">
        <v>60000.0</v>
      </c>
      <c r="G305" s="28"/>
    </row>
    <row r="306">
      <c r="A306" s="37">
        <v>46038.0</v>
      </c>
      <c r="B306" s="15" t="s">
        <v>104</v>
      </c>
      <c r="C306" s="15" t="s">
        <v>2638</v>
      </c>
      <c r="D306" s="33">
        <v>60000.0</v>
      </c>
      <c r="G306" s="28"/>
    </row>
    <row r="307">
      <c r="A307" s="37">
        <v>46038.0</v>
      </c>
      <c r="B307" s="15" t="s">
        <v>714</v>
      </c>
      <c r="C307" s="15" t="s">
        <v>2638</v>
      </c>
      <c r="D307" s="33">
        <v>50000.0</v>
      </c>
      <c r="G307" s="28"/>
    </row>
    <row r="308">
      <c r="A308" s="37">
        <v>46044.0</v>
      </c>
      <c r="B308" s="15" t="s">
        <v>104</v>
      </c>
      <c r="C308" s="15" t="s">
        <v>2638</v>
      </c>
      <c r="D308" s="33">
        <v>60000.0</v>
      </c>
      <c r="G308" s="28"/>
    </row>
    <row r="309">
      <c r="A309" s="37">
        <v>46044.0</v>
      </c>
      <c r="B309" s="15" t="s">
        <v>64</v>
      </c>
      <c r="C309" s="15" t="s">
        <v>2641</v>
      </c>
      <c r="D309" s="33">
        <v>250000.0</v>
      </c>
      <c r="G309" s="28"/>
    </row>
    <row r="310">
      <c r="A310" s="37">
        <v>46045.0</v>
      </c>
      <c r="B310" s="15" t="s">
        <v>1110</v>
      </c>
      <c r="C310" s="15" t="s">
        <v>2638</v>
      </c>
      <c r="D310" s="33">
        <v>130000.0</v>
      </c>
      <c r="G310" s="28"/>
    </row>
    <row r="311">
      <c r="A311" s="37">
        <v>46046.0</v>
      </c>
      <c r="B311" s="15" t="s">
        <v>2619</v>
      </c>
      <c r="C311" s="15" t="s">
        <v>2645</v>
      </c>
      <c r="D311" s="33">
        <v>240000.0</v>
      </c>
      <c r="G311" s="28"/>
    </row>
    <row r="312">
      <c r="A312" s="37">
        <v>46047.0</v>
      </c>
      <c r="B312" s="15" t="s">
        <v>205</v>
      </c>
      <c r="C312" s="15" t="s">
        <v>2641</v>
      </c>
      <c r="D312" s="33">
        <v>170000.0</v>
      </c>
      <c r="G312" s="28"/>
    </row>
    <row r="313">
      <c r="A313" s="37">
        <v>46051.0</v>
      </c>
      <c r="B313" s="15" t="s">
        <v>104</v>
      </c>
      <c r="C313" s="15" t="s">
        <v>2641</v>
      </c>
      <c r="D313" s="33">
        <v>170000.0</v>
      </c>
      <c r="G313" s="28"/>
    </row>
    <row r="314">
      <c r="A314" s="37">
        <v>46053.0</v>
      </c>
      <c r="B314" s="15" t="s">
        <v>2683</v>
      </c>
      <c r="C314" s="15" t="s">
        <v>2638</v>
      </c>
      <c r="D314" s="33">
        <v>130000.0</v>
      </c>
      <c r="G314" s="28"/>
    </row>
    <row r="315">
      <c r="B315" s="15" t="s">
        <v>2668</v>
      </c>
      <c r="D315" s="36">
        <f>SUM(D289:D314)</f>
        <v>3895000</v>
      </c>
      <c r="G315" s="28"/>
    </row>
    <row r="316">
      <c r="D316" s="36"/>
      <c r="G316" s="28"/>
    </row>
    <row r="317">
      <c r="A317" s="37">
        <v>46055.0</v>
      </c>
      <c r="B317" s="15" t="s">
        <v>1110</v>
      </c>
      <c r="C317" s="15" t="s">
        <v>2645</v>
      </c>
      <c r="D317" s="33">
        <v>240000.0</v>
      </c>
      <c r="G317" s="28"/>
    </row>
    <row r="318">
      <c r="A318" s="37">
        <v>46055.0</v>
      </c>
      <c r="B318" s="15" t="s">
        <v>2684</v>
      </c>
      <c r="C318" s="15" t="s">
        <v>2645</v>
      </c>
      <c r="D318" s="33">
        <v>140000.0</v>
      </c>
      <c r="G318" s="28"/>
    </row>
    <row r="319">
      <c r="A319" s="37">
        <v>46055.0</v>
      </c>
      <c r="B319" s="15" t="s">
        <v>1003</v>
      </c>
      <c r="C319" s="15" t="s">
        <v>2641</v>
      </c>
      <c r="D319" s="33">
        <v>450000.0</v>
      </c>
      <c r="G319" s="28"/>
    </row>
    <row r="320">
      <c r="A320" s="38">
        <v>46056.0</v>
      </c>
      <c r="B320" s="15" t="s">
        <v>193</v>
      </c>
      <c r="C320" s="15" t="s">
        <v>2645</v>
      </c>
      <c r="D320" s="33">
        <v>100000.0</v>
      </c>
      <c r="G320" s="28"/>
    </row>
    <row r="321">
      <c r="A321" s="37">
        <v>46056.0</v>
      </c>
      <c r="B321" s="15" t="s">
        <v>2640</v>
      </c>
      <c r="C321" s="15" t="s">
        <v>2645</v>
      </c>
      <c r="D321" s="33">
        <v>100000.0</v>
      </c>
      <c r="G321" s="28"/>
    </row>
    <row r="322">
      <c r="A322" s="37">
        <v>46056.0</v>
      </c>
      <c r="B322" s="15" t="s">
        <v>64</v>
      </c>
      <c r="C322" s="15" t="s">
        <v>2641</v>
      </c>
      <c r="D322" s="33">
        <v>250000.0</v>
      </c>
      <c r="G322" s="28"/>
    </row>
    <row r="323">
      <c r="A323" s="37">
        <v>46059.0</v>
      </c>
      <c r="B323" s="15" t="s">
        <v>104</v>
      </c>
      <c r="C323" s="15" t="s">
        <v>2641</v>
      </c>
      <c r="D323" s="33">
        <v>170000.0</v>
      </c>
      <c r="G323" s="28"/>
    </row>
    <row r="324">
      <c r="A324" s="38">
        <v>46060.0</v>
      </c>
      <c r="B324" s="15" t="s">
        <v>64</v>
      </c>
      <c r="C324" s="15" t="s">
        <v>2638</v>
      </c>
      <c r="D324" s="33">
        <v>80000.0</v>
      </c>
      <c r="G324" s="28"/>
    </row>
    <row r="325">
      <c r="A325" s="37">
        <v>46061.0</v>
      </c>
      <c r="B325" s="15" t="s">
        <v>104</v>
      </c>
      <c r="C325" s="15" t="s">
        <v>2641</v>
      </c>
      <c r="D325" s="33">
        <v>170000.0</v>
      </c>
      <c r="G325" s="28"/>
    </row>
    <row r="326">
      <c r="A326" s="37">
        <v>46062.0</v>
      </c>
      <c r="B326" s="15" t="s">
        <v>2640</v>
      </c>
      <c r="C326" s="15" t="s">
        <v>2638</v>
      </c>
      <c r="D326" s="33">
        <v>60000.0</v>
      </c>
      <c r="G326" s="28"/>
    </row>
    <row r="327">
      <c r="A327" s="37">
        <v>46062.0</v>
      </c>
      <c r="B327" s="15" t="s">
        <v>2650</v>
      </c>
      <c r="C327" s="15" t="s">
        <v>2638</v>
      </c>
      <c r="D327" s="33">
        <v>75000.0</v>
      </c>
      <c r="G327" s="28"/>
    </row>
    <row r="328">
      <c r="A328" s="37">
        <v>46063.0</v>
      </c>
      <c r="B328" s="15" t="s">
        <v>2038</v>
      </c>
      <c r="C328" s="15" t="s">
        <v>2641</v>
      </c>
      <c r="D328" s="33">
        <v>310000.0</v>
      </c>
      <c r="G328" s="28"/>
    </row>
    <row r="329">
      <c r="A329" s="37">
        <v>46063.0</v>
      </c>
      <c r="B329" s="15" t="s">
        <v>894</v>
      </c>
      <c r="C329" s="15" t="s">
        <v>2641</v>
      </c>
      <c r="D329" s="33">
        <v>125000.0</v>
      </c>
      <c r="G329" s="28"/>
    </row>
    <row r="330">
      <c r="A330" s="37">
        <v>46063.0</v>
      </c>
      <c r="B330" s="15" t="s">
        <v>104</v>
      </c>
      <c r="C330" s="15" t="s">
        <v>2641</v>
      </c>
      <c r="D330" s="33">
        <v>170000.0</v>
      </c>
      <c r="G330" s="28"/>
    </row>
    <row r="331">
      <c r="A331" s="37">
        <v>46064.0</v>
      </c>
      <c r="B331" s="15" t="s">
        <v>2675</v>
      </c>
      <c r="C331" s="15" t="s">
        <v>2645</v>
      </c>
      <c r="D331" s="33">
        <v>240000.0</v>
      </c>
      <c r="G331" s="28"/>
    </row>
    <row r="332">
      <c r="A332" s="37">
        <v>46066.0</v>
      </c>
      <c r="B332" s="15" t="s">
        <v>104</v>
      </c>
      <c r="C332" s="15" t="s">
        <v>2641</v>
      </c>
      <c r="D332" s="33">
        <v>170000.0</v>
      </c>
      <c r="G332" s="28"/>
    </row>
    <row r="333">
      <c r="A333" s="37">
        <v>46067.0</v>
      </c>
      <c r="B333" s="15" t="s">
        <v>304</v>
      </c>
      <c r="C333" s="15" t="s">
        <v>2641</v>
      </c>
      <c r="D333" s="33">
        <v>230000.0</v>
      </c>
      <c r="G333" s="28"/>
    </row>
    <row r="334">
      <c r="A334" s="37">
        <v>46069.0</v>
      </c>
      <c r="B334" s="15" t="s">
        <v>467</v>
      </c>
      <c r="C334" s="15" t="s">
        <v>2641</v>
      </c>
      <c r="D334" s="33">
        <v>310000.0</v>
      </c>
      <c r="G334" s="28"/>
    </row>
    <row r="335">
      <c r="A335" s="37">
        <v>46070.0</v>
      </c>
      <c r="B335" s="15" t="s">
        <v>1110</v>
      </c>
      <c r="C335" s="15" t="s">
        <v>2645</v>
      </c>
      <c r="D335" s="33">
        <v>240000.0</v>
      </c>
      <c r="G335" s="28"/>
    </row>
    <row r="336">
      <c r="A336" s="37">
        <v>46071.0</v>
      </c>
      <c r="B336" s="15" t="s">
        <v>64</v>
      </c>
      <c r="C336" s="15" t="s">
        <v>2638</v>
      </c>
      <c r="D336" s="33">
        <v>80000.0</v>
      </c>
      <c r="G336" s="28"/>
    </row>
    <row r="337">
      <c r="A337" s="37">
        <v>46075.0</v>
      </c>
      <c r="B337" s="15" t="s">
        <v>205</v>
      </c>
      <c r="C337" s="15" t="s">
        <v>2645</v>
      </c>
      <c r="D337" s="33">
        <v>100000.0</v>
      </c>
      <c r="G337" s="28"/>
    </row>
    <row r="338">
      <c r="A338" s="37">
        <v>46077.0</v>
      </c>
      <c r="B338" s="15" t="s">
        <v>193</v>
      </c>
      <c r="C338" s="15" t="s">
        <v>2645</v>
      </c>
      <c r="D338" s="33">
        <v>100000.0</v>
      </c>
      <c r="G338" s="28"/>
    </row>
    <row r="339">
      <c r="A339" s="37">
        <v>46078.0</v>
      </c>
      <c r="B339" s="15" t="s">
        <v>205</v>
      </c>
      <c r="C339" s="15" t="s">
        <v>2641</v>
      </c>
      <c r="D339" s="33">
        <v>170000.0</v>
      </c>
      <c r="G339" s="28"/>
    </row>
    <row r="340">
      <c r="A340" s="37">
        <v>46078.0</v>
      </c>
      <c r="B340" s="15" t="s">
        <v>2619</v>
      </c>
      <c r="C340" s="15" t="s">
        <v>2638</v>
      </c>
      <c r="D340" s="33">
        <v>130000.0</v>
      </c>
      <c r="G340" s="28"/>
    </row>
    <row r="341">
      <c r="A341" s="37">
        <v>46079.0</v>
      </c>
      <c r="B341" s="15" t="s">
        <v>1101</v>
      </c>
      <c r="C341" s="15" t="s">
        <v>2641</v>
      </c>
      <c r="D341" s="33">
        <v>250000.0</v>
      </c>
      <c r="G341" s="28"/>
    </row>
    <row r="342">
      <c r="A342" s="37">
        <v>46080.0</v>
      </c>
      <c r="B342" s="15" t="s">
        <v>64</v>
      </c>
      <c r="C342" s="15" t="s">
        <v>2638</v>
      </c>
      <c r="D342" s="33">
        <v>80000.0</v>
      </c>
      <c r="G342" s="28"/>
    </row>
    <row r="343">
      <c r="A343" s="37">
        <v>46080.0</v>
      </c>
      <c r="B343" s="15" t="s">
        <v>64</v>
      </c>
      <c r="C343" s="15" t="s">
        <v>2638</v>
      </c>
      <c r="D343" s="33">
        <v>80000.0</v>
      </c>
      <c r="G343" s="28"/>
    </row>
    <row r="344">
      <c r="B344" s="15" t="s">
        <v>2668</v>
      </c>
      <c r="D344" s="36">
        <f>SUM(D317:D343)</f>
        <v>4620000</v>
      </c>
      <c r="G344" s="28"/>
    </row>
    <row r="345">
      <c r="D345" s="36"/>
      <c r="G345" s="28"/>
    </row>
    <row r="346">
      <c r="A346" s="37">
        <v>46083.0</v>
      </c>
      <c r="B346" s="15" t="s">
        <v>139</v>
      </c>
      <c r="C346" s="15" t="s">
        <v>2641</v>
      </c>
      <c r="D346" s="33">
        <v>170000.0</v>
      </c>
      <c r="G346" s="28"/>
    </row>
    <row r="347">
      <c r="A347" s="37">
        <v>46086.0</v>
      </c>
      <c r="B347" s="15" t="s">
        <v>304</v>
      </c>
      <c r="C347" s="15" t="s">
        <v>2641</v>
      </c>
      <c r="D347" s="33">
        <v>230000.0</v>
      </c>
      <c r="G347" s="28"/>
    </row>
    <row r="348">
      <c r="A348" s="37">
        <v>46087.0</v>
      </c>
      <c r="B348" s="15" t="s">
        <v>1110</v>
      </c>
      <c r="C348" s="15" t="s">
        <v>2638</v>
      </c>
      <c r="D348" s="33">
        <v>130000.0</v>
      </c>
      <c r="G348" s="28"/>
    </row>
    <row r="349">
      <c r="A349" s="37">
        <v>46088.0</v>
      </c>
      <c r="B349" s="15" t="s">
        <v>64</v>
      </c>
      <c r="C349" s="15" t="s">
        <v>2638</v>
      </c>
      <c r="D349" s="33">
        <v>80000.0</v>
      </c>
      <c r="G349" s="28"/>
    </row>
    <row r="350">
      <c r="A350" s="37">
        <v>46088.0</v>
      </c>
      <c r="B350" s="15" t="s">
        <v>24</v>
      </c>
      <c r="C350" s="15" t="s">
        <v>2645</v>
      </c>
      <c r="D350" s="33">
        <v>140000.0</v>
      </c>
      <c r="G350" s="28"/>
    </row>
    <row r="351">
      <c r="A351" s="37">
        <v>46089.0</v>
      </c>
      <c r="B351" s="15" t="s">
        <v>1853</v>
      </c>
      <c r="C351" s="15" t="s">
        <v>2641</v>
      </c>
      <c r="D351" s="33">
        <v>210000.0</v>
      </c>
      <c r="G351" s="28"/>
    </row>
    <row r="352">
      <c r="A352" s="37">
        <v>46089.0</v>
      </c>
      <c r="B352" s="15" t="s">
        <v>2685</v>
      </c>
      <c r="C352" s="15" t="s">
        <v>2638</v>
      </c>
      <c r="D352" s="33">
        <v>70000.0</v>
      </c>
      <c r="G352" s="28"/>
    </row>
    <row r="353">
      <c r="A353" s="37">
        <v>46089.0</v>
      </c>
      <c r="B353" s="15" t="s">
        <v>2038</v>
      </c>
      <c r="C353" s="15" t="s">
        <v>2645</v>
      </c>
      <c r="D353" s="33">
        <v>180000.0</v>
      </c>
      <c r="G353" s="28"/>
    </row>
    <row r="354">
      <c r="A354" s="37">
        <v>46090.0</v>
      </c>
      <c r="B354" s="15" t="s">
        <v>1110</v>
      </c>
      <c r="C354" s="15" t="s">
        <v>2638</v>
      </c>
      <c r="D354" s="33">
        <v>130000.0</v>
      </c>
      <c r="G354" s="28"/>
    </row>
    <row r="355">
      <c r="A355" s="37">
        <v>46090.0</v>
      </c>
      <c r="B355" s="15" t="s">
        <v>906</v>
      </c>
      <c r="C355" s="15" t="s">
        <v>2638</v>
      </c>
      <c r="D355" s="33">
        <v>130000.0</v>
      </c>
      <c r="G355" s="28"/>
    </row>
    <row r="356">
      <c r="A356" s="37">
        <v>46090.0</v>
      </c>
      <c r="B356" s="15" t="s">
        <v>2252</v>
      </c>
      <c r="C356" s="15" t="s">
        <v>2638</v>
      </c>
      <c r="D356" s="33">
        <v>70000.0</v>
      </c>
      <c r="G356" s="28"/>
    </row>
    <row r="357">
      <c r="A357" s="37">
        <v>46091.0</v>
      </c>
      <c r="B357" s="15" t="s">
        <v>104</v>
      </c>
      <c r="C357" s="15" t="s">
        <v>2645</v>
      </c>
      <c r="D357" s="33">
        <v>100000.0</v>
      </c>
      <c r="G357" s="28"/>
    </row>
    <row r="358">
      <c r="A358" s="37">
        <v>46092.0</v>
      </c>
      <c r="B358" s="15" t="s">
        <v>1110</v>
      </c>
      <c r="C358" s="15" t="s">
        <v>2645</v>
      </c>
      <c r="D358" s="33">
        <v>130000.0</v>
      </c>
      <c r="G358" s="28"/>
    </row>
    <row r="359">
      <c r="A359" s="37">
        <v>46092.0</v>
      </c>
      <c r="B359" s="15" t="s">
        <v>831</v>
      </c>
      <c r="C359" s="15" t="s">
        <v>2645</v>
      </c>
      <c r="D359" s="33">
        <v>120000.0</v>
      </c>
      <c r="G359" s="28"/>
    </row>
    <row r="360">
      <c r="A360" s="37">
        <v>46093.0</v>
      </c>
      <c r="B360" s="15" t="s">
        <v>104</v>
      </c>
      <c r="C360" s="15" t="s">
        <v>2638</v>
      </c>
      <c r="D360" s="33">
        <v>60000.0</v>
      </c>
      <c r="G360" s="28"/>
    </row>
    <row r="361">
      <c r="A361" s="37">
        <v>46093.0</v>
      </c>
      <c r="B361" s="15" t="s">
        <v>193</v>
      </c>
      <c r="C361" s="15" t="s">
        <v>2641</v>
      </c>
      <c r="D361" s="33">
        <v>170000.0</v>
      </c>
      <c r="G361" s="28"/>
    </row>
    <row r="362">
      <c r="A362" s="37">
        <v>46093.0</v>
      </c>
      <c r="B362" s="15" t="s">
        <v>24</v>
      </c>
      <c r="C362" s="15" t="s">
        <v>2641</v>
      </c>
      <c r="D362" s="33">
        <v>250000.0</v>
      </c>
      <c r="G362" s="28"/>
    </row>
    <row r="363">
      <c r="A363" s="37">
        <v>46094.0</v>
      </c>
      <c r="B363" s="15" t="s">
        <v>2625</v>
      </c>
      <c r="C363" s="15" t="s">
        <v>2645</v>
      </c>
      <c r="D363" s="33">
        <v>240000.0</v>
      </c>
      <c r="G363" s="28"/>
    </row>
    <row r="364">
      <c r="A364" s="37">
        <v>46095.0</v>
      </c>
      <c r="B364" s="15" t="s">
        <v>2686</v>
      </c>
      <c r="C364" s="15" t="s">
        <v>2641</v>
      </c>
      <c r="D364" s="33">
        <v>330000.0</v>
      </c>
      <c r="G364" s="28"/>
    </row>
    <row r="365">
      <c r="A365" s="37">
        <v>46068.0</v>
      </c>
      <c r="B365" s="15" t="s">
        <v>304</v>
      </c>
      <c r="C365" s="15" t="s">
        <v>2645</v>
      </c>
      <c r="D365" s="33">
        <v>130000.0</v>
      </c>
      <c r="G365" s="28"/>
    </row>
    <row r="366">
      <c r="A366" s="37">
        <v>46097.0</v>
      </c>
      <c r="B366" s="15" t="s">
        <v>2286</v>
      </c>
      <c r="C366" s="15" t="s">
        <v>2641</v>
      </c>
      <c r="D366" s="33">
        <v>330000.0</v>
      </c>
      <c r="G366" s="28"/>
    </row>
    <row r="367">
      <c r="A367" s="37">
        <v>46098.0</v>
      </c>
      <c r="B367" s="15" t="s">
        <v>64</v>
      </c>
      <c r="C367" s="15" t="s">
        <v>2641</v>
      </c>
      <c r="D367" s="33">
        <v>250000.0</v>
      </c>
      <c r="G367" s="28"/>
    </row>
    <row r="368">
      <c r="A368" s="37">
        <v>46098.0</v>
      </c>
      <c r="B368" s="15" t="s">
        <v>883</v>
      </c>
      <c r="C368" s="15" t="s">
        <v>2645</v>
      </c>
      <c r="D368" s="33">
        <v>100000.0</v>
      </c>
      <c r="G368" s="28"/>
    </row>
    <row r="369">
      <c r="A369" s="37">
        <v>46098.0</v>
      </c>
      <c r="B369" s="15" t="s">
        <v>1853</v>
      </c>
      <c r="C369" s="15" t="s">
        <v>2645</v>
      </c>
      <c r="D369" s="33">
        <v>120000.0</v>
      </c>
      <c r="G369" s="28"/>
    </row>
    <row r="370">
      <c r="A370" s="37">
        <v>46098.0</v>
      </c>
      <c r="B370" s="15" t="s">
        <v>205</v>
      </c>
      <c r="C370" s="15" t="s">
        <v>2645</v>
      </c>
      <c r="D370" s="33">
        <v>100000.0</v>
      </c>
      <c r="G370" s="28"/>
    </row>
    <row r="371">
      <c r="A371" s="37">
        <v>46104.0</v>
      </c>
      <c r="B371" s="15" t="s">
        <v>1110</v>
      </c>
      <c r="C371" s="15" t="s">
        <v>2638</v>
      </c>
      <c r="D371" s="33">
        <v>130000.0</v>
      </c>
      <c r="G371" s="28"/>
    </row>
    <row r="372">
      <c r="A372" s="37">
        <v>46104.0</v>
      </c>
      <c r="B372" s="15" t="s">
        <v>2590</v>
      </c>
      <c r="C372" s="15" t="s">
        <v>2638</v>
      </c>
      <c r="D372" s="33">
        <v>130000.0</v>
      </c>
      <c r="G372" s="28"/>
    </row>
    <row r="373">
      <c r="A373" s="37">
        <v>46105.0</v>
      </c>
      <c r="B373" s="15" t="s">
        <v>906</v>
      </c>
      <c r="C373" s="15" t="s">
        <v>2641</v>
      </c>
      <c r="D373" s="33">
        <v>450000.0</v>
      </c>
      <c r="G373" s="28"/>
    </row>
    <row r="374">
      <c r="A374" s="37">
        <v>46105.0</v>
      </c>
      <c r="B374" s="15" t="s">
        <v>104</v>
      </c>
      <c r="C374" s="15" t="s">
        <v>2638</v>
      </c>
      <c r="D374" s="33">
        <v>60000.0</v>
      </c>
      <c r="G374" s="28"/>
    </row>
    <row r="375">
      <c r="A375" s="37">
        <v>46105.0</v>
      </c>
      <c r="B375" s="15" t="s">
        <v>2660</v>
      </c>
      <c r="C375" s="15" t="s">
        <v>2641</v>
      </c>
      <c r="D375" s="33">
        <v>125000.0</v>
      </c>
      <c r="G375" s="28"/>
    </row>
    <row r="376">
      <c r="A376" s="37">
        <v>46105.0</v>
      </c>
      <c r="B376" s="15" t="s">
        <v>1534</v>
      </c>
      <c r="C376" s="15" t="s">
        <v>2645</v>
      </c>
      <c r="D376" s="33">
        <v>75000.0</v>
      </c>
      <c r="G376" s="28"/>
    </row>
    <row r="377">
      <c r="A377" s="37">
        <v>46108.0</v>
      </c>
      <c r="B377" s="15" t="s">
        <v>1110</v>
      </c>
      <c r="C377" s="15" t="s">
        <v>2645</v>
      </c>
      <c r="D377" s="33">
        <v>240000.0</v>
      </c>
      <c r="G377" s="28"/>
    </row>
    <row r="378">
      <c r="A378" s="37">
        <v>46106.0</v>
      </c>
      <c r="B378" s="15" t="s">
        <v>193</v>
      </c>
      <c r="C378" s="15" t="s">
        <v>2641</v>
      </c>
      <c r="D378" s="33">
        <v>170000.0</v>
      </c>
      <c r="G378" s="28"/>
    </row>
    <row r="379">
      <c r="A379" s="37">
        <v>46107.0</v>
      </c>
      <c r="B379" s="15" t="s">
        <v>2640</v>
      </c>
      <c r="C379" s="15" t="s">
        <v>2638</v>
      </c>
      <c r="D379" s="33">
        <v>60000.0</v>
      </c>
      <c r="G379" s="28"/>
    </row>
    <row r="380">
      <c r="A380" s="37">
        <v>46108.0</v>
      </c>
      <c r="B380" s="15" t="s">
        <v>2687</v>
      </c>
      <c r="C380" s="15" t="s">
        <v>2645</v>
      </c>
      <c r="D380" s="33">
        <v>240000.0</v>
      </c>
      <c r="G380" s="28"/>
    </row>
    <row r="381">
      <c r="A381" s="37">
        <v>46108.0</v>
      </c>
      <c r="B381" s="15" t="s">
        <v>2625</v>
      </c>
      <c r="C381" s="15" t="s">
        <v>2638</v>
      </c>
      <c r="D381" s="33">
        <v>130000.0</v>
      </c>
      <c r="G381" s="28"/>
    </row>
    <row r="382">
      <c r="A382" s="37">
        <v>46110.0</v>
      </c>
      <c r="B382" s="15" t="s">
        <v>1101</v>
      </c>
      <c r="C382" s="15" t="s">
        <v>2645</v>
      </c>
      <c r="D382" s="33">
        <v>140000.0</v>
      </c>
      <c r="G382" s="28"/>
    </row>
    <row r="383">
      <c r="A383" s="37">
        <v>46110.0</v>
      </c>
      <c r="B383" s="15" t="s">
        <v>1110</v>
      </c>
      <c r="C383" s="15" t="s">
        <v>2645</v>
      </c>
      <c r="D383" s="33">
        <v>240000.0</v>
      </c>
      <c r="G383" s="28"/>
    </row>
    <row r="384">
      <c r="A384" s="37">
        <v>46110.0</v>
      </c>
      <c r="B384" s="15" t="s">
        <v>104</v>
      </c>
      <c r="C384" s="15" t="s">
        <v>2638</v>
      </c>
      <c r="D384" s="33">
        <v>60000.0</v>
      </c>
      <c r="G384" s="28"/>
    </row>
    <row r="385">
      <c r="A385" s="37">
        <v>46112.0</v>
      </c>
      <c r="B385" s="15" t="s">
        <v>1307</v>
      </c>
      <c r="C385" s="15" t="s">
        <v>2638</v>
      </c>
      <c r="D385" s="33">
        <v>100000.0</v>
      </c>
      <c r="G385" s="28"/>
    </row>
    <row r="386">
      <c r="A386" s="37">
        <v>46112.0</v>
      </c>
      <c r="B386" s="15" t="s">
        <v>2590</v>
      </c>
      <c r="C386" s="15" t="s">
        <v>2638</v>
      </c>
      <c r="D386" s="33">
        <v>130000.0</v>
      </c>
      <c r="G386" s="28"/>
    </row>
    <row r="387">
      <c r="A387" s="37">
        <v>46112.0</v>
      </c>
      <c r="B387" s="15" t="s">
        <v>64</v>
      </c>
      <c r="C387" s="15" t="s">
        <v>2638</v>
      </c>
      <c r="D387" s="33">
        <v>80000.0</v>
      </c>
      <c r="G387" s="28"/>
    </row>
    <row r="388">
      <c r="A388" s="37">
        <v>46112.0</v>
      </c>
      <c r="B388" s="15" t="s">
        <v>2664</v>
      </c>
      <c r="C388" s="15" t="s">
        <v>2638</v>
      </c>
      <c r="D388" s="33">
        <v>70000.0</v>
      </c>
      <c r="G388" s="28"/>
    </row>
    <row r="389">
      <c r="B389" s="15" t="s">
        <v>2668</v>
      </c>
      <c r="D389" s="36">
        <f>SUM(D346:D388)</f>
        <v>6600000</v>
      </c>
      <c r="G389" s="28"/>
    </row>
    <row r="390">
      <c r="D390" s="36"/>
      <c r="G390" s="28"/>
    </row>
    <row r="391">
      <c r="A391" s="37">
        <v>46113.0</v>
      </c>
      <c r="B391" s="15" t="s">
        <v>2688</v>
      </c>
      <c r="C391" s="15" t="s">
        <v>2638</v>
      </c>
      <c r="D391" s="33">
        <v>70000.0</v>
      </c>
      <c r="G391" s="28"/>
    </row>
    <row r="392">
      <c r="A392" s="37">
        <v>46113.0</v>
      </c>
      <c r="B392" s="15" t="s">
        <v>883</v>
      </c>
      <c r="C392" s="15" t="s">
        <v>2638</v>
      </c>
      <c r="D392" s="33">
        <v>60000.0</v>
      </c>
      <c r="G392" s="28"/>
    </row>
    <row r="393">
      <c r="A393" s="37">
        <v>46083.0</v>
      </c>
      <c r="B393" s="15" t="s">
        <v>104</v>
      </c>
      <c r="C393" s="15" t="s">
        <v>2641</v>
      </c>
      <c r="D393" s="33">
        <v>170000.0</v>
      </c>
      <c r="G393" s="28"/>
    </row>
    <row r="394">
      <c r="A394" s="37">
        <v>46083.0</v>
      </c>
      <c r="B394" s="15" t="s">
        <v>2688</v>
      </c>
      <c r="C394" s="15" t="s">
        <v>2638</v>
      </c>
      <c r="D394" s="33">
        <v>70000.0</v>
      </c>
      <c r="G394" s="28"/>
    </row>
    <row r="395">
      <c r="A395" s="37">
        <v>46114.0</v>
      </c>
      <c r="B395" s="15" t="s">
        <v>205</v>
      </c>
      <c r="C395" s="15" t="s">
        <v>2638</v>
      </c>
      <c r="D395" s="33">
        <v>60000.0</v>
      </c>
      <c r="G395" s="28"/>
    </row>
    <row r="396">
      <c r="A396" s="37">
        <v>46118.0</v>
      </c>
      <c r="B396" s="15" t="s">
        <v>1534</v>
      </c>
      <c r="C396" s="15" t="s">
        <v>2645</v>
      </c>
      <c r="D396" s="33">
        <v>75000.0</v>
      </c>
      <c r="G396" s="28"/>
    </row>
    <row r="397">
      <c r="A397" s="37">
        <v>46118.0</v>
      </c>
      <c r="B397" s="15" t="s">
        <v>304</v>
      </c>
      <c r="C397" s="15" t="s">
        <v>2645</v>
      </c>
      <c r="D397" s="33">
        <v>130000.0</v>
      </c>
      <c r="G397" s="28"/>
    </row>
    <row r="398">
      <c r="A398" s="37">
        <v>46118.0</v>
      </c>
      <c r="B398" s="15" t="s">
        <v>205</v>
      </c>
      <c r="C398" s="15" t="s">
        <v>2638</v>
      </c>
      <c r="D398" s="33">
        <v>60000.0</v>
      </c>
      <c r="G398" s="28"/>
    </row>
    <row r="399">
      <c r="A399" s="37">
        <v>46118.0</v>
      </c>
      <c r="B399" s="15" t="s">
        <v>205</v>
      </c>
      <c r="C399" s="15" t="s">
        <v>2641</v>
      </c>
      <c r="D399" s="33">
        <v>170000.0</v>
      </c>
      <c r="G399" s="28"/>
    </row>
    <row r="400">
      <c r="A400" s="38">
        <v>46119.0</v>
      </c>
      <c r="B400" s="15" t="s">
        <v>104</v>
      </c>
      <c r="C400" s="15" t="s">
        <v>2638</v>
      </c>
      <c r="D400" s="33">
        <v>60000.0</v>
      </c>
      <c r="G400" s="28"/>
    </row>
    <row r="401">
      <c r="A401" s="37">
        <v>46119.0</v>
      </c>
      <c r="B401" s="15" t="s">
        <v>104</v>
      </c>
      <c r="C401" s="15" t="s">
        <v>2638</v>
      </c>
      <c r="D401" s="33">
        <v>60000.0</v>
      </c>
      <c r="G401" s="28"/>
    </row>
    <row r="402">
      <c r="A402" s="37">
        <v>46120.0</v>
      </c>
      <c r="B402" s="15" t="s">
        <v>304</v>
      </c>
      <c r="C402" s="15" t="s">
        <v>2645</v>
      </c>
      <c r="D402" s="33">
        <v>180000.0</v>
      </c>
      <c r="G402" s="28"/>
    </row>
    <row r="403">
      <c r="A403" s="37">
        <v>46120.0</v>
      </c>
      <c r="B403" s="15" t="s">
        <v>2688</v>
      </c>
      <c r="C403" s="15" t="s">
        <v>2641</v>
      </c>
      <c r="D403" s="33">
        <v>210000.0</v>
      </c>
      <c r="G403" s="28"/>
    </row>
    <row r="404">
      <c r="A404" s="37">
        <v>46121.0</v>
      </c>
      <c r="B404" s="15" t="s">
        <v>1110</v>
      </c>
      <c r="C404" s="15" t="s">
        <v>2641</v>
      </c>
      <c r="D404" s="33">
        <v>450000.0</v>
      </c>
      <c r="G404" s="28"/>
    </row>
    <row r="405">
      <c r="A405" s="37">
        <v>46121.0</v>
      </c>
      <c r="B405" s="15" t="s">
        <v>104</v>
      </c>
      <c r="C405" s="15" t="s">
        <v>2638</v>
      </c>
      <c r="D405" s="33">
        <v>60000.0</v>
      </c>
      <c r="G405" s="28"/>
    </row>
    <row r="406">
      <c r="A406" s="37">
        <v>46121.0</v>
      </c>
      <c r="B406" s="15" t="s">
        <v>2664</v>
      </c>
      <c r="C406" s="15" t="s">
        <v>2641</v>
      </c>
      <c r="D406" s="33">
        <v>210000.0</v>
      </c>
      <c r="G406" s="28"/>
    </row>
    <row r="407">
      <c r="A407" s="37">
        <v>46121.0</v>
      </c>
      <c r="B407" s="15" t="s">
        <v>401</v>
      </c>
      <c r="C407" s="15" t="s">
        <v>2641</v>
      </c>
      <c r="D407" s="33">
        <v>250000.0</v>
      </c>
      <c r="G407" s="28"/>
    </row>
    <row r="408">
      <c r="A408" s="37">
        <v>46122.0</v>
      </c>
      <c r="B408" s="15" t="s">
        <v>2625</v>
      </c>
      <c r="C408" s="15" t="s">
        <v>2638</v>
      </c>
      <c r="D408" s="33">
        <v>130000.0</v>
      </c>
      <c r="G408" s="28"/>
    </row>
    <row r="409">
      <c r="A409" s="37">
        <v>46122.0</v>
      </c>
      <c r="B409" s="15" t="s">
        <v>906</v>
      </c>
      <c r="C409" s="15" t="s">
        <v>2638</v>
      </c>
      <c r="D409" s="33">
        <v>130000.0</v>
      </c>
      <c r="G409" s="28"/>
    </row>
    <row r="410">
      <c r="A410" s="37">
        <v>46122.0</v>
      </c>
      <c r="B410" s="15" t="s">
        <v>2688</v>
      </c>
      <c r="C410" s="15" t="s">
        <v>2638</v>
      </c>
      <c r="D410" s="33">
        <v>70000.0</v>
      </c>
      <c r="G410" s="28"/>
    </row>
    <row r="411">
      <c r="A411" s="37">
        <v>46123.0</v>
      </c>
      <c r="B411" s="15" t="s">
        <v>1853</v>
      </c>
      <c r="C411" s="15" t="s">
        <v>2641</v>
      </c>
      <c r="D411" s="33">
        <v>210000.0</v>
      </c>
      <c r="G411" s="28"/>
    </row>
    <row r="412">
      <c r="A412" s="37">
        <v>46123.0</v>
      </c>
      <c r="B412" s="15" t="s">
        <v>2625</v>
      </c>
      <c r="C412" s="15" t="s">
        <v>2638</v>
      </c>
      <c r="D412" s="33">
        <v>130000.0</v>
      </c>
      <c r="G412" s="28"/>
    </row>
    <row r="413">
      <c r="A413" s="37">
        <v>46123.0</v>
      </c>
      <c r="B413" s="15" t="s">
        <v>1853</v>
      </c>
      <c r="C413" s="15" t="s">
        <v>2645</v>
      </c>
      <c r="D413" s="33">
        <v>120000.0</v>
      </c>
      <c r="G413" s="28"/>
    </row>
    <row r="414">
      <c r="A414" s="37">
        <v>46123.0</v>
      </c>
      <c r="B414" s="15" t="s">
        <v>1101</v>
      </c>
      <c r="C414" s="15" t="s">
        <v>2645</v>
      </c>
      <c r="D414" s="33">
        <v>140000.0</v>
      </c>
      <c r="G414" s="28"/>
    </row>
    <row r="415">
      <c r="A415" s="37">
        <v>46125.0</v>
      </c>
      <c r="B415" s="15" t="s">
        <v>1307</v>
      </c>
      <c r="C415" s="15" t="s">
        <v>2638</v>
      </c>
      <c r="D415" s="33">
        <v>100000.0</v>
      </c>
      <c r="G415" s="28"/>
    </row>
    <row r="416">
      <c r="A416" s="37">
        <v>46126.0</v>
      </c>
      <c r="B416" s="15" t="s">
        <v>1110</v>
      </c>
      <c r="C416" s="15" t="s">
        <v>2641</v>
      </c>
      <c r="D416" s="33">
        <v>450000.0</v>
      </c>
      <c r="G416" s="28"/>
    </row>
    <row r="417">
      <c r="A417" s="37">
        <v>46127.0</v>
      </c>
      <c r="B417" s="15" t="s">
        <v>831</v>
      </c>
      <c r="C417" s="15" t="s">
        <v>2638</v>
      </c>
      <c r="D417" s="33">
        <v>70000.0</v>
      </c>
      <c r="G417" s="28"/>
    </row>
    <row r="418">
      <c r="A418" s="37">
        <v>46127.0</v>
      </c>
      <c r="B418" s="15" t="s">
        <v>64</v>
      </c>
      <c r="C418" s="15" t="s">
        <v>2641</v>
      </c>
      <c r="D418" s="33">
        <v>250000.0</v>
      </c>
      <c r="G418" s="28"/>
    </row>
    <row r="419">
      <c r="A419" s="37">
        <v>46128.0</v>
      </c>
      <c r="B419" s="15" t="s">
        <v>2286</v>
      </c>
      <c r="C419" s="15" t="s">
        <v>2638</v>
      </c>
      <c r="D419" s="33">
        <v>100000.0</v>
      </c>
      <c r="G419" s="28"/>
    </row>
    <row r="420">
      <c r="A420" s="37">
        <v>46130.0</v>
      </c>
      <c r="B420" s="15" t="s">
        <v>952</v>
      </c>
      <c r="C420" s="15" t="s">
        <v>2638</v>
      </c>
      <c r="D420" s="33">
        <v>130000.0</v>
      </c>
      <c r="G420" s="28"/>
    </row>
    <row r="421">
      <c r="A421" s="37">
        <v>46131.0</v>
      </c>
      <c r="B421" s="15" t="s">
        <v>2625</v>
      </c>
      <c r="C421" s="15" t="s">
        <v>2645</v>
      </c>
      <c r="D421" s="33">
        <v>240000.0</v>
      </c>
      <c r="G421" s="28"/>
    </row>
    <row r="422">
      <c r="A422" s="37">
        <v>46131.0</v>
      </c>
      <c r="B422" s="15" t="s">
        <v>2252</v>
      </c>
      <c r="C422" s="15" t="s">
        <v>2645</v>
      </c>
      <c r="D422" s="33">
        <v>120000.0</v>
      </c>
      <c r="G422" s="28"/>
    </row>
    <row r="423">
      <c r="A423" s="37">
        <v>46132.0</v>
      </c>
      <c r="B423" s="15" t="s">
        <v>64</v>
      </c>
      <c r="C423" s="15" t="s">
        <v>2641</v>
      </c>
      <c r="D423" s="33">
        <v>250000.0</v>
      </c>
      <c r="G423" s="28"/>
    </row>
    <row r="424">
      <c r="A424" s="37">
        <v>46132.0</v>
      </c>
      <c r="B424" s="15" t="s">
        <v>104</v>
      </c>
      <c r="C424" s="15" t="s">
        <v>2641</v>
      </c>
      <c r="D424" s="33">
        <v>170000.0</v>
      </c>
      <c r="G424" s="28"/>
    </row>
    <row r="425">
      <c r="A425" s="37">
        <v>46133.0</v>
      </c>
      <c r="B425" s="15" t="s">
        <v>2688</v>
      </c>
      <c r="C425" s="15" t="s">
        <v>2638</v>
      </c>
      <c r="D425" s="33">
        <v>70000.0</v>
      </c>
      <c r="G425" s="28"/>
    </row>
    <row r="426">
      <c r="A426" s="37">
        <v>46133.0</v>
      </c>
      <c r="B426" s="15" t="s">
        <v>2286</v>
      </c>
      <c r="C426" s="15" t="s">
        <v>2645</v>
      </c>
      <c r="D426" s="33">
        <v>180000.0</v>
      </c>
      <c r="G426" s="28"/>
    </row>
    <row r="427">
      <c r="A427" s="37">
        <v>46133.0</v>
      </c>
      <c r="B427" s="15" t="s">
        <v>2590</v>
      </c>
      <c r="C427" s="15" t="s">
        <v>2645</v>
      </c>
      <c r="D427" s="33">
        <v>240000.0</v>
      </c>
      <c r="G427" s="28"/>
    </row>
    <row r="428">
      <c r="A428" s="37">
        <v>46133.0</v>
      </c>
      <c r="B428" s="15" t="s">
        <v>104</v>
      </c>
      <c r="C428" s="15" t="s">
        <v>2645</v>
      </c>
      <c r="D428" s="33">
        <v>100000.0</v>
      </c>
      <c r="G428" s="28"/>
    </row>
    <row r="429">
      <c r="A429" s="37">
        <v>46133.0</v>
      </c>
      <c r="B429" s="15" t="s">
        <v>104</v>
      </c>
      <c r="C429" s="15" t="s">
        <v>2645</v>
      </c>
      <c r="D429" s="33">
        <v>100000.0</v>
      </c>
      <c r="G429" s="28"/>
    </row>
    <row r="430">
      <c r="A430" s="37">
        <v>46133.0</v>
      </c>
      <c r="B430" s="15" t="s">
        <v>2625</v>
      </c>
      <c r="C430" s="15" t="s">
        <v>2638</v>
      </c>
      <c r="D430" s="33">
        <v>130000.0</v>
      </c>
      <c r="G430" s="28"/>
    </row>
    <row r="431">
      <c r="A431" s="37">
        <v>46134.0</v>
      </c>
      <c r="B431" s="15" t="s">
        <v>1534</v>
      </c>
      <c r="C431" s="15" t="s">
        <v>2645</v>
      </c>
      <c r="D431" s="33">
        <v>75000.0</v>
      </c>
      <c r="G431" s="28"/>
    </row>
    <row r="432">
      <c r="A432" s="37">
        <v>46135.0</v>
      </c>
      <c r="B432" s="15" t="s">
        <v>1853</v>
      </c>
      <c r="C432" s="15" t="s">
        <v>2645</v>
      </c>
      <c r="D432" s="33">
        <v>120000.0</v>
      </c>
      <c r="G432" s="28"/>
    </row>
    <row r="433">
      <c r="A433" s="37">
        <v>46135.0</v>
      </c>
      <c r="B433" s="15" t="s">
        <v>2286</v>
      </c>
      <c r="C433" s="15" t="s">
        <v>2638</v>
      </c>
      <c r="D433" s="33">
        <v>100000.0</v>
      </c>
      <c r="G433" s="28"/>
    </row>
    <row r="434">
      <c r="A434" s="37">
        <v>46136.0</v>
      </c>
      <c r="B434" s="15" t="s">
        <v>952</v>
      </c>
      <c r="C434" s="15" t="s">
        <v>2641</v>
      </c>
      <c r="D434" s="33">
        <v>310000.0</v>
      </c>
      <c r="G434" s="28"/>
    </row>
    <row r="435">
      <c r="A435" s="37">
        <v>46137.0</v>
      </c>
      <c r="B435" s="15" t="s">
        <v>1853</v>
      </c>
      <c r="C435" s="15" t="s">
        <v>2641</v>
      </c>
      <c r="D435" s="33">
        <v>210000.0</v>
      </c>
      <c r="G435" s="28"/>
    </row>
    <row r="436">
      <c r="A436" s="37">
        <v>46140.0</v>
      </c>
      <c r="B436" s="15" t="s">
        <v>906</v>
      </c>
      <c r="C436" s="15" t="s">
        <v>2645</v>
      </c>
      <c r="D436" s="33">
        <v>240000.0</v>
      </c>
      <c r="G436" s="28"/>
    </row>
    <row r="437">
      <c r="A437" s="37">
        <v>46140.0</v>
      </c>
      <c r="B437" s="15" t="s">
        <v>104</v>
      </c>
      <c r="C437" s="15" t="s">
        <v>2641</v>
      </c>
      <c r="D437" s="33">
        <v>170000.0</v>
      </c>
      <c r="G437" s="28"/>
    </row>
    <row r="438">
      <c r="A438" s="37">
        <v>46140.0</v>
      </c>
      <c r="B438" s="15" t="s">
        <v>2625</v>
      </c>
      <c r="C438" s="15" t="s">
        <v>2645</v>
      </c>
      <c r="D438" s="33">
        <v>450000.0</v>
      </c>
      <c r="G438" s="28"/>
    </row>
    <row r="439">
      <c r="A439" s="37">
        <v>46140.0</v>
      </c>
      <c r="B439" s="15" t="s">
        <v>831</v>
      </c>
      <c r="C439" s="15" t="s">
        <v>2645</v>
      </c>
      <c r="D439" s="33">
        <v>120000.0</v>
      </c>
      <c r="G439" s="28"/>
    </row>
    <row r="440">
      <c r="A440" s="37">
        <v>46140.0</v>
      </c>
      <c r="B440" s="15" t="s">
        <v>831</v>
      </c>
      <c r="C440" s="15" t="s">
        <v>2689</v>
      </c>
      <c r="D440" s="33">
        <v>675000.0</v>
      </c>
      <c r="G440" s="28"/>
    </row>
    <row r="441">
      <c r="A441" s="37">
        <v>46142.0</v>
      </c>
      <c r="B441" s="15" t="s">
        <v>1307</v>
      </c>
      <c r="C441" s="15" t="s">
        <v>2645</v>
      </c>
      <c r="D441" s="33">
        <v>180000.0</v>
      </c>
      <c r="G441" s="28"/>
    </row>
    <row r="442">
      <c r="A442" s="37">
        <v>46142.0</v>
      </c>
      <c r="B442" s="15" t="s">
        <v>104</v>
      </c>
      <c r="C442" s="15" t="s">
        <v>2641</v>
      </c>
      <c r="D442" s="33">
        <v>170000.0</v>
      </c>
      <c r="G442" s="28"/>
    </row>
    <row r="443">
      <c r="B443" s="15" t="s">
        <v>2668</v>
      </c>
      <c r="D443" s="36">
        <f>SUM(D391:D442)</f>
        <v>8795000</v>
      </c>
      <c r="G443" s="28"/>
    </row>
    <row r="444">
      <c r="D444" s="36"/>
      <c r="G444" s="28"/>
    </row>
    <row r="445">
      <c r="A445" s="37">
        <v>46143.0</v>
      </c>
      <c r="B445" s="15" t="s">
        <v>104</v>
      </c>
      <c r="C445" s="15" t="s">
        <v>2645</v>
      </c>
      <c r="D445" s="33">
        <v>100000.0</v>
      </c>
      <c r="G445" s="28"/>
    </row>
    <row r="446">
      <c r="A446" s="37">
        <v>46113.0</v>
      </c>
      <c r="B446" s="15" t="s">
        <v>2650</v>
      </c>
      <c r="C446" s="15" t="s">
        <v>2641</v>
      </c>
      <c r="D446" s="33">
        <v>230000.0</v>
      </c>
      <c r="G446" s="28"/>
    </row>
    <row r="447">
      <c r="A447" s="37">
        <v>46146.0</v>
      </c>
      <c r="B447" s="15" t="s">
        <v>2688</v>
      </c>
      <c r="C447" s="15" t="s">
        <v>2641</v>
      </c>
      <c r="D447" s="33">
        <v>210000.0</v>
      </c>
      <c r="G447" s="28"/>
    </row>
    <row r="448">
      <c r="A448" s="37">
        <v>46147.0</v>
      </c>
      <c r="B448" s="15" t="s">
        <v>2286</v>
      </c>
      <c r="C448" s="15" t="s">
        <v>2645</v>
      </c>
      <c r="D448" s="33">
        <v>180000.0</v>
      </c>
      <c r="G448" s="28"/>
    </row>
    <row r="449">
      <c r="A449" s="37">
        <v>46149.0</v>
      </c>
      <c r="B449" s="15" t="s">
        <v>139</v>
      </c>
      <c r="C449" s="15" t="s">
        <v>2645</v>
      </c>
      <c r="D449" s="33">
        <v>100000.0</v>
      </c>
      <c r="G449" s="28"/>
    </row>
    <row r="450">
      <c r="A450" s="37">
        <v>46149.0</v>
      </c>
      <c r="B450" s="15" t="s">
        <v>304</v>
      </c>
      <c r="C450" s="15" t="s">
        <v>2638</v>
      </c>
      <c r="D450" s="33">
        <v>75000.0</v>
      </c>
      <c r="G450" s="28"/>
    </row>
    <row r="451">
      <c r="A451" s="37">
        <v>46149.0</v>
      </c>
      <c r="B451" s="15" t="s">
        <v>2252</v>
      </c>
      <c r="C451" s="15" t="s">
        <v>2645</v>
      </c>
      <c r="D451" s="33">
        <v>120000.0</v>
      </c>
      <c r="G451" s="28"/>
    </row>
    <row r="452">
      <c r="A452" s="37">
        <v>46151.0</v>
      </c>
      <c r="B452" s="15" t="s">
        <v>2688</v>
      </c>
      <c r="C452" s="15" t="s">
        <v>2641</v>
      </c>
      <c r="D452" s="33">
        <v>210000.0</v>
      </c>
      <c r="G452" s="28"/>
    </row>
    <row r="453">
      <c r="A453" s="37">
        <v>46151.0</v>
      </c>
      <c r="B453" s="15" t="s">
        <v>2664</v>
      </c>
      <c r="C453" s="15" t="s">
        <v>2641</v>
      </c>
      <c r="D453" s="33">
        <v>210000.0</v>
      </c>
      <c r="G453" s="28"/>
    </row>
    <row r="454">
      <c r="A454" s="37">
        <v>46151.0</v>
      </c>
      <c r="B454" s="15" t="s">
        <v>2625</v>
      </c>
      <c r="C454" s="15" t="s">
        <v>2638</v>
      </c>
      <c r="D454" s="33">
        <v>130000.0</v>
      </c>
      <c r="G454" s="28"/>
    </row>
    <row r="455">
      <c r="A455" s="37">
        <v>46152.0</v>
      </c>
      <c r="B455" s="15" t="s">
        <v>1110</v>
      </c>
      <c r="C455" s="15" t="s">
        <v>2645</v>
      </c>
      <c r="D455" s="33">
        <v>240000.0</v>
      </c>
      <c r="G455" s="28"/>
    </row>
    <row r="456">
      <c r="A456" s="37">
        <v>46153.0</v>
      </c>
      <c r="B456" s="15" t="s">
        <v>2660</v>
      </c>
      <c r="C456" s="15" t="s">
        <v>2638</v>
      </c>
      <c r="D456" s="33">
        <v>60000.0</v>
      </c>
      <c r="G456" s="28"/>
    </row>
    <row r="457">
      <c r="A457" s="37">
        <v>46153.0</v>
      </c>
      <c r="B457" s="15" t="s">
        <v>1534</v>
      </c>
      <c r="C457" s="15" t="s">
        <v>2645</v>
      </c>
      <c r="D457" s="33">
        <v>75000.0</v>
      </c>
      <c r="G457" s="28"/>
    </row>
    <row r="458">
      <c r="A458" s="37">
        <v>46154.0</v>
      </c>
      <c r="B458" s="15" t="s">
        <v>1307</v>
      </c>
      <c r="C458" s="15" t="s">
        <v>2641</v>
      </c>
      <c r="D458" s="33">
        <v>310000.0</v>
      </c>
      <c r="G458" s="28"/>
    </row>
    <row r="459">
      <c r="A459" s="37">
        <v>46154.0</v>
      </c>
      <c r="B459" s="15" t="s">
        <v>104</v>
      </c>
      <c r="C459" s="15" t="s">
        <v>2638</v>
      </c>
      <c r="D459" s="33">
        <v>60000.0</v>
      </c>
      <c r="G459" s="28"/>
    </row>
    <row r="460">
      <c r="A460" s="37">
        <v>46154.0</v>
      </c>
      <c r="B460" s="15" t="s">
        <v>2629</v>
      </c>
      <c r="C460" s="15" t="s">
        <v>2638</v>
      </c>
      <c r="D460" s="33">
        <v>130000.0</v>
      </c>
      <c r="G460" s="28"/>
    </row>
    <row r="461">
      <c r="A461" s="37">
        <v>46154.0</v>
      </c>
      <c r="B461" s="15" t="s">
        <v>906</v>
      </c>
      <c r="C461" s="15" t="s">
        <v>2645</v>
      </c>
      <c r="D461" s="33">
        <v>240000.0</v>
      </c>
      <c r="G461" s="28"/>
    </row>
    <row r="462">
      <c r="A462" s="37">
        <v>46154.0</v>
      </c>
      <c r="B462" s="15" t="s">
        <v>1110</v>
      </c>
      <c r="C462" s="15" t="s">
        <v>2641</v>
      </c>
      <c r="D462" s="33">
        <v>450000.0</v>
      </c>
      <c r="G462" s="28"/>
    </row>
    <row r="463">
      <c r="A463" s="37">
        <v>46155.0</v>
      </c>
      <c r="B463" s="15" t="s">
        <v>104</v>
      </c>
      <c r="C463" s="15" t="s">
        <v>2641</v>
      </c>
      <c r="D463" s="33">
        <v>170000.0</v>
      </c>
      <c r="G463" s="28"/>
    </row>
    <row r="464">
      <c r="A464" s="37">
        <v>46155.0</v>
      </c>
      <c r="B464" s="15" t="s">
        <v>2674</v>
      </c>
      <c r="C464" s="15" t="s">
        <v>2638</v>
      </c>
      <c r="D464" s="33">
        <v>75000.0</v>
      </c>
      <c r="G464" s="28"/>
    </row>
    <row r="465">
      <c r="A465" s="37">
        <v>46155.0</v>
      </c>
      <c r="B465" s="15" t="s">
        <v>2286</v>
      </c>
      <c r="C465" s="15" t="s">
        <v>2638</v>
      </c>
      <c r="D465" s="33">
        <v>100000.0</v>
      </c>
      <c r="G465" s="28"/>
    </row>
    <row r="466">
      <c r="A466" s="37">
        <v>46156.0</v>
      </c>
      <c r="B466" s="15" t="s">
        <v>831</v>
      </c>
      <c r="C466" s="15" t="s">
        <v>2645</v>
      </c>
      <c r="D466" s="33">
        <v>120000.0</v>
      </c>
      <c r="G466" s="28"/>
    </row>
    <row r="467">
      <c r="A467" s="37">
        <v>46188.0</v>
      </c>
      <c r="B467" s="15" t="s">
        <v>1101</v>
      </c>
      <c r="C467" s="15" t="s">
        <v>2638</v>
      </c>
      <c r="D467" s="33">
        <v>80000.0</v>
      </c>
      <c r="G467" s="28"/>
    </row>
    <row r="468">
      <c r="A468" s="37">
        <v>46158.0</v>
      </c>
      <c r="B468" s="15" t="s">
        <v>304</v>
      </c>
      <c r="C468" s="15" t="s">
        <v>2638</v>
      </c>
      <c r="D468" s="33">
        <v>75000.0</v>
      </c>
      <c r="G468" s="28"/>
    </row>
    <row r="469">
      <c r="A469" s="37">
        <v>46158.0</v>
      </c>
      <c r="B469" s="15" t="s">
        <v>193</v>
      </c>
      <c r="C469" s="15" t="s">
        <v>2645</v>
      </c>
      <c r="D469" s="33">
        <v>100000.0</v>
      </c>
      <c r="G469" s="28"/>
    </row>
    <row r="470">
      <c r="A470" s="37">
        <v>46159.0</v>
      </c>
      <c r="B470" s="15" t="s">
        <v>24</v>
      </c>
      <c r="C470" s="15" t="s">
        <v>2641</v>
      </c>
      <c r="D470" s="33">
        <v>250000.0</v>
      </c>
      <c r="G470" s="28"/>
    </row>
    <row r="471">
      <c r="A471" s="37">
        <v>46159.0</v>
      </c>
      <c r="B471" s="15" t="s">
        <v>2625</v>
      </c>
      <c r="C471" s="15" t="s">
        <v>2638</v>
      </c>
      <c r="D471" s="33">
        <v>130000.0</v>
      </c>
      <c r="G471" s="28"/>
    </row>
    <row r="472">
      <c r="A472" s="37">
        <v>46159.0</v>
      </c>
      <c r="B472" s="15" t="s">
        <v>64</v>
      </c>
      <c r="C472" s="15" t="s">
        <v>2641</v>
      </c>
      <c r="D472" s="33">
        <v>250000.0</v>
      </c>
      <c r="G472" s="28"/>
    </row>
    <row r="473">
      <c r="B473" s="15" t="s">
        <v>1853</v>
      </c>
      <c r="C473" s="15" t="s">
        <v>2641</v>
      </c>
      <c r="D473" s="33"/>
      <c r="G473" s="28"/>
    </row>
    <row r="474">
      <c r="G474" s="28"/>
    </row>
    <row r="475">
      <c r="B475" s="15" t="s">
        <v>2590</v>
      </c>
      <c r="C475" s="15" t="s">
        <v>2641</v>
      </c>
      <c r="D475" s="33"/>
      <c r="G475" s="28"/>
    </row>
    <row r="476">
      <c r="B476" s="15" t="s">
        <v>2668</v>
      </c>
      <c r="D476" s="36">
        <f>SUM(D445:D475)</f>
        <v>4480000</v>
      </c>
      <c r="G476" s="28"/>
    </row>
    <row r="477">
      <c r="D477" s="36"/>
      <c r="G477" s="28"/>
    </row>
    <row r="478">
      <c r="D478" s="36"/>
      <c r="G478" s="28"/>
    </row>
    <row r="479">
      <c r="D479" s="36"/>
      <c r="G479" s="28"/>
    </row>
    <row r="480">
      <c r="D480" s="36"/>
      <c r="G480" s="28"/>
    </row>
    <row r="481">
      <c r="D481" s="36"/>
      <c r="G481" s="28"/>
    </row>
    <row r="482">
      <c r="D482" s="36"/>
      <c r="G482" s="28"/>
    </row>
    <row r="483">
      <c r="D483" s="36"/>
      <c r="G483" s="28"/>
    </row>
    <row r="484">
      <c r="D484" s="36"/>
      <c r="G484" s="28"/>
    </row>
    <row r="485">
      <c r="D485" s="36"/>
      <c r="G485" s="28"/>
    </row>
    <row r="486">
      <c r="D486" s="36"/>
      <c r="G486" s="28"/>
    </row>
    <row r="487">
      <c r="D487" s="36"/>
      <c r="G487" s="28"/>
    </row>
    <row r="488">
      <c r="D488" s="36"/>
      <c r="G488" s="28"/>
    </row>
    <row r="489">
      <c r="D489" s="36"/>
      <c r="G489" s="28"/>
    </row>
    <row r="490">
      <c r="D490" s="36"/>
      <c r="G490" s="28"/>
    </row>
    <row r="491">
      <c r="D491" s="36"/>
      <c r="G491" s="28"/>
    </row>
    <row r="492">
      <c r="D492" s="36"/>
      <c r="G492" s="28"/>
    </row>
    <row r="493">
      <c r="D493" s="36"/>
      <c r="G493" s="28"/>
    </row>
    <row r="494">
      <c r="D494" s="36"/>
      <c r="G494" s="28"/>
    </row>
    <row r="495">
      <c r="D495" s="36"/>
      <c r="G495" s="28"/>
    </row>
    <row r="496">
      <c r="D496" s="36"/>
      <c r="G496" s="28"/>
    </row>
    <row r="497">
      <c r="D497" s="36"/>
      <c r="G497" s="28"/>
    </row>
    <row r="498">
      <c r="D498" s="36"/>
      <c r="G498" s="28"/>
    </row>
    <row r="499">
      <c r="D499" s="36"/>
      <c r="G499" s="28"/>
    </row>
    <row r="500">
      <c r="D500" s="36"/>
      <c r="G500" s="28"/>
    </row>
    <row r="501">
      <c r="D501" s="36"/>
      <c r="G501" s="28"/>
    </row>
    <row r="502">
      <c r="D502" s="36"/>
      <c r="G502" s="28"/>
    </row>
    <row r="503">
      <c r="D503" s="36"/>
      <c r="G503" s="28"/>
    </row>
    <row r="504">
      <c r="D504" s="36"/>
      <c r="G504" s="28"/>
    </row>
    <row r="505">
      <c r="D505" s="36"/>
      <c r="G505" s="28"/>
    </row>
    <row r="506">
      <c r="D506" s="36"/>
      <c r="G506" s="28"/>
    </row>
    <row r="507">
      <c r="D507" s="36"/>
      <c r="G507" s="28"/>
    </row>
    <row r="508">
      <c r="D508" s="36"/>
      <c r="G508" s="28"/>
    </row>
    <row r="509">
      <c r="D509" s="36"/>
      <c r="G509" s="28"/>
    </row>
    <row r="510">
      <c r="D510" s="36"/>
      <c r="G510" s="28"/>
    </row>
    <row r="511">
      <c r="D511" s="36"/>
      <c r="G511" s="28"/>
    </row>
    <row r="512">
      <c r="D512" s="36"/>
      <c r="G512" s="28"/>
    </row>
    <row r="513">
      <c r="D513" s="36"/>
      <c r="G513" s="28"/>
    </row>
    <row r="514">
      <c r="D514" s="36"/>
      <c r="G514" s="28"/>
    </row>
    <row r="515">
      <c r="D515" s="36"/>
      <c r="G515" s="28"/>
    </row>
    <row r="516">
      <c r="D516" s="36"/>
      <c r="G516" s="28"/>
    </row>
    <row r="517">
      <c r="D517" s="36"/>
      <c r="G517" s="28"/>
    </row>
    <row r="518">
      <c r="D518" s="36"/>
      <c r="G518" s="28"/>
    </row>
    <row r="519">
      <c r="D519" s="36"/>
      <c r="G519" s="28"/>
    </row>
    <row r="520">
      <c r="D520" s="36"/>
      <c r="G520" s="28"/>
    </row>
    <row r="521">
      <c r="D521" s="36"/>
      <c r="G521" s="28"/>
    </row>
    <row r="522">
      <c r="D522" s="36"/>
      <c r="G522" s="28"/>
    </row>
    <row r="523">
      <c r="D523" s="36"/>
      <c r="G523" s="28"/>
    </row>
    <row r="524">
      <c r="D524" s="36"/>
      <c r="G524" s="28"/>
    </row>
    <row r="525">
      <c r="D525" s="36"/>
      <c r="G525" s="28"/>
    </row>
    <row r="526">
      <c r="D526" s="36"/>
      <c r="G526" s="28"/>
    </row>
    <row r="527">
      <c r="D527" s="36"/>
      <c r="G527" s="28"/>
    </row>
    <row r="528">
      <c r="D528" s="36"/>
      <c r="G528" s="28"/>
    </row>
    <row r="529">
      <c r="D529" s="36"/>
      <c r="G529" s="28"/>
    </row>
    <row r="530">
      <c r="D530" s="36"/>
      <c r="G530" s="28"/>
    </row>
    <row r="531">
      <c r="D531" s="36"/>
      <c r="G531" s="28"/>
    </row>
    <row r="532">
      <c r="D532" s="36"/>
      <c r="G532" s="28"/>
    </row>
    <row r="533">
      <c r="D533" s="36"/>
      <c r="G533" s="28"/>
    </row>
    <row r="534">
      <c r="D534" s="36"/>
      <c r="G534" s="28"/>
    </row>
    <row r="535">
      <c r="D535" s="36"/>
      <c r="G535" s="28"/>
    </row>
    <row r="536">
      <c r="D536" s="36"/>
      <c r="G536" s="28"/>
    </row>
    <row r="537">
      <c r="D537" s="36"/>
      <c r="G537" s="28"/>
    </row>
    <row r="538">
      <c r="D538" s="36"/>
      <c r="G538" s="28"/>
    </row>
    <row r="539">
      <c r="D539" s="36"/>
      <c r="G539" s="28"/>
    </row>
    <row r="540">
      <c r="D540" s="36"/>
      <c r="G540" s="28"/>
    </row>
    <row r="541">
      <c r="D541" s="36"/>
      <c r="G541" s="28"/>
    </row>
    <row r="542">
      <c r="D542" s="36"/>
      <c r="G542" s="28"/>
    </row>
    <row r="543">
      <c r="D543" s="36"/>
      <c r="G543" s="28"/>
    </row>
    <row r="544">
      <c r="D544" s="36"/>
      <c r="G544" s="28"/>
    </row>
    <row r="545">
      <c r="D545" s="36"/>
      <c r="G545" s="28"/>
    </row>
    <row r="546">
      <c r="D546" s="36"/>
      <c r="G546" s="28"/>
    </row>
    <row r="547">
      <c r="D547" s="36"/>
      <c r="G547" s="28"/>
    </row>
    <row r="548">
      <c r="D548" s="36"/>
      <c r="G548" s="28"/>
    </row>
    <row r="549">
      <c r="D549" s="36"/>
      <c r="G549" s="28"/>
    </row>
    <row r="550">
      <c r="D550" s="36"/>
      <c r="G550" s="28"/>
    </row>
    <row r="551">
      <c r="D551" s="36"/>
      <c r="G551" s="28"/>
    </row>
    <row r="552">
      <c r="D552" s="36"/>
      <c r="G552" s="28"/>
    </row>
    <row r="553">
      <c r="D553" s="36"/>
      <c r="G553" s="28"/>
    </row>
    <row r="554">
      <c r="D554" s="36"/>
      <c r="G554" s="28"/>
    </row>
    <row r="555">
      <c r="D555" s="36"/>
      <c r="G555" s="28"/>
    </row>
    <row r="556">
      <c r="D556" s="36"/>
      <c r="G556" s="28"/>
    </row>
    <row r="557">
      <c r="D557" s="36"/>
      <c r="G557" s="28"/>
    </row>
    <row r="558">
      <c r="D558" s="36"/>
      <c r="G558" s="28"/>
    </row>
    <row r="559">
      <c r="D559" s="36"/>
      <c r="G559" s="28"/>
    </row>
    <row r="560">
      <c r="D560" s="36"/>
      <c r="G560" s="28"/>
    </row>
    <row r="561">
      <c r="D561" s="36"/>
      <c r="G561" s="28"/>
    </row>
    <row r="562">
      <c r="D562" s="36"/>
      <c r="G562" s="28"/>
    </row>
    <row r="563">
      <c r="D563" s="36"/>
      <c r="G563" s="28"/>
    </row>
    <row r="564">
      <c r="D564" s="36"/>
      <c r="G564" s="28"/>
    </row>
    <row r="565">
      <c r="D565" s="36"/>
      <c r="G565" s="28"/>
    </row>
    <row r="566">
      <c r="D566" s="36"/>
      <c r="G566" s="28"/>
    </row>
    <row r="567">
      <c r="D567" s="36"/>
      <c r="G567" s="28"/>
    </row>
    <row r="568">
      <c r="D568" s="36"/>
      <c r="G568" s="28"/>
    </row>
    <row r="569">
      <c r="D569" s="36"/>
      <c r="G569" s="28"/>
    </row>
    <row r="570">
      <c r="D570" s="36"/>
      <c r="G570" s="28"/>
    </row>
    <row r="571">
      <c r="D571" s="36"/>
      <c r="G571" s="28"/>
    </row>
    <row r="572">
      <c r="D572" s="36"/>
      <c r="G572" s="28"/>
    </row>
    <row r="573">
      <c r="D573" s="36"/>
      <c r="G573" s="28"/>
    </row>
    <row r="574">
      <c r="D574" s="36"/>
      <c r="G574" s="28"/>
    </row>
    <row r="575">
      <c r="D575" s="36"/>
      <c r="G575" s="28"/>
    </row>
    <row r="576">
      <c r="D576" s="36"/>
      <c r="G576" s="28"/>
    </row>
    <row r="577">
      <c r="D577" s="36"/>
      <c r="G577" s="28"/>
    </row>
    <row r="578">
      <c r="D578" s="36"/>
      <c r="G578" s="28"/>
    </row>
    <row r="579">
      <c r="D579" s="36"/>
      <c r="G579" s="28"/>
    </row>
    <row r="580">
      <c r="D580" s="36"/>
      <c r="G580" s="28"/>
    </row>
    <row r="581">
      <c r="D581" s="36"/>
      <c r="G581" s="28"/>
    </row>
    <row r="582">
      <c r="D582" s="36"/>
      <c r="G582" s="28"/>
    </row>
    <row r="583">
      <c r="D583" s="36"/>
      <c r="G583" s="28"/>
    </row>
    <row r="584">
      <c r="D584" s="36"/>
      <c r="G584" s="28"/>
    </row>
    <row r="585">
      <c r="D585" s="36"/>
      <c r="G585" s="28"/>
    </row>
    <row r="586">
      <c r="D586" s="36"/>
      <c r="G586" s="28"/>
    </row>
    <row r="587">
      <c r="D587" s="36"/>
      <c r="G587" s="28"/>
    </row>
    <row r="588">
      <c r="D588" s="36"/>
      <c r="G588" s="28"/>
    </row>
    <row r="589">
      <c r="D589" s="36"/>
      <c r="G589" s="28"/>
    </row>
    <row r="590">
      <c r="D590" s="36"/>
      <c r="G590" s="28"/>
    </row>
    <row r="591">
      <c r="D591" s="36"/>
      <c r="G591" s="28"/>
    </row>
    <row r="592">
      <c r="D592" s="36"/>
      <c r="G592" s="28"/>
    </row>
    <row r="593">
      <c r="D593" s="36"/>
      <c r="G593" s="28"/>
    </row>
    <row r="594">
      <c r="D594" s="36"/>
      <c r="G594" s="28"/>
    </row>
    <row r="595">
      <c r="D595" s="36"/>
      <c r="G595" s="28"/>
    </row>
    <row r="596">
      <c r="D596" s="36"/>
      <c r="G596" s="28"/>
    </row>
    <row r="597">
      <c r="D597" s="36"/>
      <c r="G597" s="28"/>
    </row>
    <row r="598">
      <c r="D598" s="36"/>
      <c r="G598" s="28"/>
    </row>
    <row r="599">
      <c r="D599" s="36"/>
      <c r="G599" s="28"/>
    </row>
    <row r="600">
      <c r="D600" s="36"/>
      <c r="G600" s="28"/>
    </row>
    <row r="601">
      <c r="D601" s="36"/>
      <c r="G601" s="28"/>
    </row>
    <row r="602">
      <c r="D602" s="36"/>
      <c r="G602" s="28"/>
    </row>
    <row r="603">
      <c r="D603" s="36"/>
      <c r="G603" s="28"/>
    </row>
    <row r="604">
      <c r="D604" s="36"/>
      <c r="G604" s="28"/>
    </row>
    <row r="605">
      <c r="D605" s="36"/>
      <c r="G605" s="28"/>
    </row>
    <row r="606">
      <c r="D606" s="36"/>
      <c r="G606" s="28"/>
    </row>
    <row r="607">
      <c r="D607" s="36"/>
      <c r="G607" s="28"/>
    </row>
    <row r="608">
      <c r="D608" s="36"/>
      <c r="G608" s="28"/>
    </row>
    <row r="609">
      <c r="D609" s="36"/>
      <c r="G609" s="28"/>
    </row>
    <row r="610">
      <c r="D610" s="36"/>
      <c r="G610" s="28"/>
    </row>
    <row r="611">
      <c r="D611" s="36"/>
      <c r="G611" s="28"/>
    </row>
    <row r="612">
      <c r="D612" s="36"/>
      <c r="G612" s="28"/>
    </row>
    <row r="613">
      <c r="D613" s="36"/>
      <c r="G613" s="28"/>
    </row>
    <row r="614">
      <c r="D614" s="36"/>
      <c r="G614" s="28"/>
    </row>
    <row r="615">
      <c r="D615" s="36"/>
      <c r="G615" s="28"/>
    </row>
    <row r="616">
      <c r="D616" s="36"/>
      <c r="G616" s="28"/>
    </row>
    <row r="617">
      <c r="D617" s="36"/>
      <c r="G617" s="28"/>
    </row>
    <row r="618">
      <c r="D618" s="36"/>
      <c r="G618" s="28"/>
    </row>
    <row r="619">
      <c r="D619" s="36"/>
      <c r="G619" s="28"/>
    </row>
    <row r="620">
      <c r="D620" s="36"/>
      <c r="G620" s="28"/>
    </row>
    <row r="621">
      <c r="D621" s="36"/>
      <c r="G621" s="28"/>
    </row>
    <row r="622">
      <c r="D622" s="36"/>
      <c r="G622" s="28"/>
    </row>
    <row r="623">
      <c r="D623" s="36"/>
      <c r="G623" s="28"/>
    </row>
    <row r="624">
      <c r="D624" s="36"/>
      <c r="G624" s="28"/>
    </row>
    <row r="625">
      <c r="D625" s="36"/>
      <c r="G625" s="28"/>
    </row>
    <row r="626">
      <c r="D626" s="36"/>
      <c r="G626" s="28"/>
    </row>
    <row r="627">
      <c r="D627" s="36"/>
      <c r="G627" s="28"/>
    </row>
    <row r="628">
      <c r="D628" s="36"/>
      <c r="G628" s="28"/>
    </row>
    <row r="629">
      <c r="D629" s="36"/>
      <c r="G629" s="28"/>
    </row>
    <row r="630">
      <c r="D630" s="36"/>
      <c r="G630" s="28"/>
    </row>
    <row r="631">
      <c r="D631" s="36"/>
      <c r="G631" s="28"/>
    </row>
    <row r="632">
      <c r="D632" s="36"/>
      <c r="G632" s="28"/>
    </row>
    <row r="633">
      <c r="D633" s="36"/>
      <c r="G633" s="28"/>
    </row>
    <row r="634">
      <c r="D634" s="36"/>
      <c r="G634" s="28"/>
    </row>
    <row r="635">
      <c r="D635" s="36"/>
      <c r="G635" s="28"/>
    </row>
    <row r="636">
      <c r="D636" s="36"/>
      <c r="G636" s="28"/>
    </row>
    <row r="637">
      <c r="D637" s="36"/>
      <c r="G637" s="28"/>
    </row>
    <row r="638">
      <c r="D638" s="36"/>
      <c r="G638" s="28"/>
    </row>
    <row r="639">
      <c r="D639" s="36"/>
      <c r="G639" s="28"/>
    </row>
    <row r="640">
      <c r="D640" s="36"/>
      <c r="G640" s="28"/>
    </row>
    <row r="641">
      <c r="D641" s="36"/>
      <c r="G641" s="28"/>
    </row>
    <row r="642">
      <c r="D642" s="36"/>
      <c r="G642" s="28"/>
    </row>
    <row r="643">
      <c r="D643" s="36"/>
      <c r="G643" s="28"/>
    </row>
    <row r="644">
      <c r="D644" s="36"/>
      <c r="G644" s="28"/>
    </row>
    <row r="645">
      <c r="D645" s="36"/>
      <c r="G645" s="28"/>
    </row>
    <row r="646">
      <c r="D646" s="36"/>
      <c r="G646" s="28"/>
    </row>
    <row r="647">
      <c r="D647" s="36"/>
      <c r="G647" s="28"/>
    </row>
    <row r="648">
      <c r="D648" s="36"/>
      <c r="G648" s="28"/>
    </row>
    <row r="649">
      <c r="D649" s="36"/>
      <c r="G649" s="28"/>
    </row>
    <row r="650">
      <c r="D650" s="36"/>
      <c r="G650" s="28"/>
    </row>
    <row r="651">
      <c r="D651" s="36"/>
      <c r="G651" s="28"/>
    </row>
    <row r="652">
      <c r="D652" s="36"/>
      <c r="G652" s="28"/>
    </row>
    <row r="653">
      <c r="D653" s="36"/>
      <c r="G653" s="28"/>
    </row>
    <row r="654">
      <c r="D654" s="36"/>
      <c r="G654" s="28"/>
    </row>
    <row r="655">
      <c r="D655" s="36"/>
      <c r="G655" s="28"/>
    </row>
    <row r="656">
      <c r="D656" s="36"/>
      <c r="G656" s="28"/>
    </row>
    <row r="657">
      <c r="D657" s="36"/>
      <c r="G657" s="28"/>
    </row>
    <row r="658">
      <c r="D658" s="36"/>
      <c r="G658" s="28"/>
    </row>
    <row r="659">
      <c r="D659" s="36"/>
      <c r="G659" s="28"/>
    </row>
    <row r="660">
      <c r="D660" s="36"/>
      <c r="G660" s="28"/>
    </row>
    <row r="661">
      <c r="D661" s="36"/>
      <c r="G661" s="28"/>
    </row>
    <row r="662">
      <c r="D662" s="36"/>
      <c r="G662" s="28"/>
    </row>
    <row r="663">
      <c r="D663" s="36"/>
      <c r="G663" s="28"/>
    </row>
    <row r="664">
      <c r="D664" s="36"/>
      <c r="G664" s="28"/>
    </row>
    <row r="665">
      <c r="D665" s="36"/>
      <c r="G665" s="28"/>
    </row>
    <row r="666">
      <c r="D666" s="36"/>
      <c r="G666" s="28"/>
    </row>
    <row r="667">
      <c r="D667" s="36"/>
      <c r="G667" s="28"/>
    </row>
    <row r="668">
      <c r="D668" s="36"/>
      <c r="G668" s="28"/>
    </row>
    <row r="669">
      <c r="D669" s="36"/>
      <c r="G669" s="28"/>
    </row>
    <row r="670">
      <c r="D670" s="36"/>
      <c r="G670" s="28"/>
    </row>
    <row r="671">
      <c r="D671" s="36"/>
      <c r="G671" s="28"/>
    </row>
    <row r="672">
      <c r="D672" s="36"/>
      <c r="G672" s="28"/>
    </row>
    <row r="673">
      <c r="D673" s="36"/>
      <c r="G673" s="28"/>
    </row>
    <row r="674">
      <c r="D674" s="36"/>
      <c r="G674" s="28"/>
    </row>
    <row r="675">
      <c r="D675" s="36"/>
      <c r="G675" s="28"/>
    </row>
    <row r="676">
      <c r="D676" s="36"/>
      <c r="G676" s="28"/>
    </row>
    <row r="677">
      <c r="D677" s="36"/>
      <c r="G677" s="28"/>
    </row>
    <row r="678">
      <c r="D678" s="36"/>
      <c r="G678" s="28"/>
    </row>
    <row r="679">
      <c r="D679" s="36"/>
      <c r="G679" s="28"/>
    </row>
    <row r="680">
      <c r="D680" s="36"/>
      <c r="G680" s="28"/>
    </row>
    <row r="681">
      <c r="D681" s="36"/>
      <c r="G681" s="28"/>
    </row>
    <row r="682">
      <c r="D682" s="36"/>
      <c r="G682" s="28"/>
    </row>
    <row r="683">
      <c r="D683" s="36"/>
      <c r="G683" s="28"/>
    </row>
    <row r="684">
      <c r="D684" s="36"/>
      <c r="G684" s="28"/>
    </row>
    <row r="685">
      <c r="D685" s="36"/>
      <c r="G685" s="28"/>
    </row>
    <row r="686">
      <c r="D686" s="36"/>
      <c r="G686" s="28"/>
    </row>
    <row r="687">
      <c r="D687" s="36"/>
      <c r="G687" s="28"/>
    </row>
    <row r="688">
      <c r="D688" s="36"/>
      <c r="G688" s="28"/>
    </row>
    <row r="689">
      <c r="D689" s="36"/>
      <c r="G689" s="28"/>
    </row>
    <row r="690">
      <c r="D690" s="36"/>
      <c r="G690" s="28"/>
    </row>
    <row r="691">
      <c r="D691" s="36"/>
      <c r="G691" s="28"/>
    </row>
    <row r="692">
      <c r="D692" s="36"/>
      <c r="G692" s="28"/>
    </row>
    <row r="693">
      <c r="D693" s="36"/>
      <c r="G693" s="28"/>
    </row>
    <row r="694">
      <c r="D694" s="36"/>
      <c r="G694" s="28"/>
    </row>
    <row r="695">
      <c r="D695" s="36"/>
      <c r="G695" s="28"/>
    </row>
    <row r="696">
      <c r="D696" s="36"/>
      <c r="G696" s="28"/>
    </row>
    <row r="697">
      <c r="D697" s="36"/>
      <c r="G697" s="28"/>
    </row>
    <row r="698">
      <c r="D698" s="36"/>
      <c r="G698" s="28"/>
    </row>
    <row r="699">
      <c r="D699" s="36"/>
      <c r="G699" s="28"/>
    </row>
    <row r="700">
      <c r="D700" s="36"/>
      <c r="G700" s="28"/>
    </row>
    <row r="701">
      <c r="D701" s="36"/>
      <c r="G701" s="28"/>
    </row>
    <row r="702">
      <c r="D702" s="36"/>
      <c r="G702" s="28"/>
    </row>
    <row r="703">
      <c r="D703" s="36"/>
      <c r="G703" s="28"/>
    </row>
    <row r="704">
      <c r="D704" s="36"/>
      <c r="G704" s="28"/>
    </row>
    <row r="705">
      <c r="D705" s="36"/>
      <c r="G705" s="28"/>
    </row>
    <row r="706">
      <c r="D706" s="36"/>
      <c r="G706" s="28"/>
    </row>
    <row r="707">
      <c r="D707" s="36"/>
      <c r="G707" s="28"/>
    </row>
    <row r="708">
      <c r="D708" s="36"/>
      <c r="G708" s="28"/>
    </row>
    <row r="709">
      <c r="D709" s="36"/>
      <c r="G709" s="28"/>
    </row>
    <row r="710">
      <c r="D710" s="36"/>
      <c r="G710" s="28"/>
    </row>
    <row r="711">
      <c r="D711" s="36"/>
      <c r="G711" s="28"/>
    </row>
    <row r="712">
      <c r="D712" s="36"/>
      <c r="G712" s="28"/>
    </row>
    <row r="713">
      <c r="D713" s="36"/>
      <c r="G713" s="28"/>
    </row>
    <row r="714">
      <c r="D714" s="36"/>
      <c r="G714" s="28"/>
    </row>
    <row r="715">
      <c r="D715" s="36"/>
      <c r="G715" s="28"/>
    </row>
    <row r="716">
      <c r="D716" s="36"/>
      <c r="G716" s="28"/>
    </row>
    <row r="717">
      <c r="D717" s="36"/>
      <c r="G717" s="28"/>
    </row>
    <row r="718">
      <c r="D718" s="36"/>
      <c r="G718" s="28"/>
    </row>
    <row r="719">
      <c r="D719" s="36"/>
      <c r="G719" s="28"/>
    </row>
    <row r="720">
      <c r="D720" s="36"/>
      <c r="G720" s="28"/>
    </row>
    <row r="721">
      <c r="D721" s="36"/>
      <c r="G721" s="28"/>
    </row>
    <row r="722">
      <c r="D722" s="36"/>
      <c r="G722" s="28"/>
    </row>
    <row r="723">
      <c r="D723" s="36"/>
      <c r="G723" s="28"/>
    </row>
    <row r="724">
      <c r="D724" s="36"/>
      <c r="G724" s="28"/>
    </row>
    <row r="725">
      <c r="D725" s="36"/>
      <c r="G725" s="28"/>
    </row>
    <row r="726">
      <c r="D726" s="36"/>
      <c r="G726" s="28"/>
    </row>
    <row r="727">
      <c r="D727" s="36"/>
      <c r="G727" s="28"/>
    </row>
    <row r="728">
      <c r="D728" s="36"/>
      <c r="G728" s="28"/>
    </row>
    <row r="729">
      <c r="D729" s="36"/>
      <c r="G729" s="28"/>
    </row>
    <row r="730">
      <c r="D730" s="36"/>
      <c r="G730" s="28"/>
    </row>
    <row r="731">
      <c r="D731" s="36"/>
      <c r="G731" s="28"/>
    </row>
    <row r="732">
      <c r="D732" s="36"/>
      <c r="G732" s="28"/>
    </row>
    <row r="733">
      <c r="D733" s="36"/>
      <c r="G733" s="28"/>
    </row>
    <row r="734">
      <c r="D734" s="36"/>
      <c r="G734" s="28"/>
    </row>
    <row r="735">
      <c r="D735" s="36"/>
      <c r="G735" s="28"/>
    </row>
    <row r="736">
      <c r="D736" s="36"/>
      <c r="G736" s="28"/>
    </row>
    <row r="737">
      <c r="D737" s="36"/>
      <c r="G737" s="28"/>
    </row>
    <row r="738">
      <c r="D738" s="36"/>
      <c r="G738" s="28"/>
    </row>
    <row r="739">
      <c r="D739" s="36"/>
      <c r="G739" s="28"/>
    </row>
    <row r="740">
      <c r="D740" s="36"/>
      <c r="G740" s="28"/>
    </row>
    <row r="741">
      <c r="D741" s="36"/>
      <c r="G741" s="28"/>
    </row>
    <row r="742">
      <c r="D742" s="36"/>
      <c r="G742" s="28"/>
    </row>
    <row r="743">
      <c r="D743" s="36"/>
      <c r="G743" s="28"/>
    </row>
    <row r="744">
      <c r="D744" s="36"/>
      <c r="G744" s="28"/>
    </row>
    <row r="745">
      <c r="D745" s="36"/>
      <c r="G745" s="28"/>
    </row>
    <row r="746">
      <c r="D746" s="36"/>
      <c r="G746" s="28"/>
    </row>
    <row r="747">
      <c r="D747" s="36"/>
      <c r="G747" s="28"/>
    </row>
    <row r="748">
      <c r="D748" s="36"/>
      <c r="G748" s="28"/>
    </row>
    <row r="749">
      <c r="D749" s="36"/>
      <c r="G749" s="28"/>
    </row>
    <row r="750">
      <c r="D750" s="36"/>
      <c r="G750" s="28"/>
    </row>
    <row r="751">
      <c r="D751" s="36"/>
      <c r="G751" s="28"/>
    </row>
    <row r="752">
      <c r="D752" s="36"/>
      <c r="G752" s="28"/>
    </row>
    <row r="753">
      <c r="D753" s="36"/>
      <c r="G753" s="28"/>
    </row>
    <row r="754">
      <c r="D754" s="36"/>
      <c r="G754" s="28"/>
    </row>
    <row r="755">
      <c r="D755" s="36"/>
      <c r="G755" s="28"/>
    </row>
    <row r="756">
      <c r="D756" s="36"/>
      <c r="G756" s="28"/>
    </row>
    <row r="757">
      <c r="D757" s="36"/>
      <c r="G757" s="28"/>
    </row>
    <row r="758">
      <c r="D758" s="36"/>
      <c r="G758" s="28"/>
    </row>
    <row r="759">
      <c r="D759" s="36"/>
      <c r="G759" s="28"/>
    </row>
    <row r="760">
      <c r="D760" s="36"/>
      <c r="G760" s="28"/>
    </row>
    <row r="761">
      <c r="D761" s="36"/>
      <c r="G761" s="28"/>
    </row>
    <row r="762">
      <c r="D762" s="36"/>
      <c r="G762" s="28"/>
    </row>
    <row r="763">
      <c r="D763" s="36"/>
      <c r="G763" s="28"/>
    </row>
    <row r="764">
      <c r="D764" s="36"/>
      <c r="G764" s="28"/>
    </row>
    <row r="765">
      <c r="D765" s="36"/>
      <c r="G765" s="28"/>
    </row>
    <row r="766">
      <c r="D766" s="36"/>
      <c r="G766" s="28"/>
    </row>
    <row r="767">
      <c r="D767" s="36"/>
      <c r="G767" s="28"/>
    </row>
    <row r="768">
      <c r="D768" s="36"/>
      <c r="G768" s="28"/>
    </row>
    <row r="769">
      <c r="D769" s="36"/>
      <c r="G769" s="28"/>
    </row>
    <row r="770">
      <c r="D770" s="36"/>
      <c r="G770" s="28"/>
    </row>
    <row r="771">
      <c r="D771" s="36"/>
      <c r="G771" s="28"/>
    </row>
    <row r="772">
      <c r="D772" s="36"/>
      <c r="G772" s="28"/>
    </row>
    <row r="773">
      <c r="D773" s="36"/>
      <c r="G773" s="28"/>
    </row>
    <row r="774">
      <c r="D774" s="36"/>
      <c r="G774" s="28"/>
    </row>
    <row r="775">
      <c r="D775" s="36"/>
      <c r="G775" s="28"/>
    </row>
    <row r="776">
      <c r="D776" s="36"/>
      <c r="G776" s="28"/>
    </row>
    <row r="777">
      <c r="D777" s="36"/>
      <c r="G777" s="28"/>
    </row>
    <row r="778">
      <c r="D778" s="36"/>
      <c r="G778" s="28"/>
    </row>
    <row r="779">
      <c r="D779" s="36"/>
      <c r="G779" s="28"/>
    </row>
    <row r="780">
      <c r="D780" s="36"/>
      <c r="G780" s="28"/>
    </row>
    <row r="781">
      <c r="D781" s="36"/>
      <c r="G781" s="28"/>
    </row>
    <row r="782">
      <c r="D782" s="36"/>
      <c r="G782" s="28"/>
    </row>
    <row r="783">
      <c r="D783" s="36"/>
      <c r="G783" s="28"/>
    </row>
    <row r="784">
      <c r="D784" s="36"/>
      <c r="G784" s="28"/>
    </row>
    <row r="785">
      <c r="D785" s="36"/>
      <c r="G785" s="28"/>
    </row>
    <row r="786">
      <c r="D786" s="36"/>
      <c r="G786" s="28"/>
    </row>
    <row r="787">
      <c r="D787" s="36"/>
      <c r="G787" s="28"/>
    </row>
    <row r="788">
      <c r="D788" s="36"/>
      <c r="G788" s="28"/>
    </row>
    <row r="789">
      <c r="D789" s="36"/>
      <c r="G789" s="28"/>
    </row>
    <row r="790">
      <c r="D790" s="36"/>
      <c r="G790" s="28"/>
    </row>
    <row r="791">
      <c r="D791" s="36"/>
      <c r="G791" s="28"/>
    </row>
    <row r="792">
      <c r="D792" s="36"/>
      <c r="G792" s="28"/>
    </row>
    <row r="793">
      <c r="D793" s="36"/>
      <c r="G793" s="28"/>
    </row>
    <row r="794">
      <c r="D794" s="36"/>
      <c r="G794" s="28"/>
    </row>
    <row r="795">
      <c r="D795" s="36"/>
      <c r="G795" s="28"/>
    </row>
    <row r="796">
      <c r="D796" s="36"/>
      <c r="G796" s="28"/>
    </row>
    <row r="797">
      <c r="D797" s="36"/>
      <c r="G797" s="28"/>
    </row>
    <row r="798">
      <c r="D798" s="36"/>
      <c r="G798" s="28"/>
    </row>
    <row r="799">
      <c r="D799" s="36"/>
      <c r="G799" s="28"/>
    </row>
    <row r="800">
      <c r="D800" s="36"/>
      <c r="G800" s="28"/>
    </row>
    <row r="801">
      <c r="D801" s="36"/>
      <c r="G801" s="28"/>
    </row>
    <row r="802">
      <c r="D802" s="36"/>
      <c r="G802" s="28"/>
    </row>
    <row r="803">
      <c r="D803" s="36"/>
      <c r="G803" s="28"/>
    </row>
    <row r="804">
      <c r="D804" s="36"/>
      <c r="G804" s="28"/>
    </row>
    <row r="805">
      <c r="D805" s="36"/>
      <c r="G805" s="28"/>
    </row>
    <row r="806">
      <c r="D806" s="36"/>
      <c r="G806" s="28"/>
    </row>
    <row r="807">
      <c r="D807" s="36"/>
      <c r="G807" s="28"/>
    </row>
    <row r="808">
      <c r="D808" s="36"/>
      <c r="G808" s="28"/>
    </row>
    <row r="809">
      <c r="D809" s="36"/>
      <c r="G809" s="28"/>
    </row>
    <row r="810">
      <c r="D810" s="36"/>
      <c r="G810" s="28"/>
    </row>
    <row r="811">
      <c r="D811" s="36"/>
      <c r="G811" s="28"/>
    </row>
    <row r="812">
      <c r="D812" s="36"/>
      <c r="G812" s="28"/>
    </row>
    <row r="813">
      <c r="D813" s="36"/>
      <c r="G813" s="28"/>
    </row>
    <row r="814">
      <c r="D814" s="36"/>
      <c r="G814" s="28"/>
    </row>
    <row r="815">
      <c r="D815" s="36"/>
      <c r="G815" s="28"/>
    </row>
    <row r="816">
      <c r="D816" s="36"/>
      <c r="G816" s="28"/>
    </row>
    <row r="817">
      <c r="D817" s="36"/>
      <c r="G817" s="28"/>
    </row>
    <row r="818">
      <c r="D818" s="36"/>
      <c r="G818" s="28"/>
    </row>
    <row r="819">
      <c r="D819" s="36"/>
      <c r="G819" s="28"/>
    </row>
    <row r="820">
      <c r="D820" s="36"/>
      <c r="G820" s="28"/>
    </row>
    <row r="821">
      <c r="D821" s="36"/>
      <c r="G821" s="28"/>
    </row>
    <row r="822">
      <c r="D822" s="36"/>
      <c r="G822" s="28"/>
    </row>
    <row r="823">
      <c r="D823" s="36"/>
      <c r="G823" s="28"/>
    </row>
    <row r="824">
      <c r="D824" s="36"/>
      <c r="G824" s="28"/>
    </row>
    <row r="825">
      <c r="D825" s="36"/>
      <c r="G825" s="28"/>
    </row>
    <row r="826">
      <c r="D826" s="36"/>
      <c r="G826" s="28"/>
    </row>
    <row r="827">
      <c r="D827" s="36"/>
      <c r="G827" s="28"/>
    </row>
    <row r="828">
      <c r="D828" s="36"/>
      <c r="G828" s="28"/>
    </row>
    <row r="829">
      <c r="D829" s="36"/>
      <c r="G829" s="28"/>
    </row>
    <row r="830">
      <c r="D830" s="36"/>
      <c r="G830" s="28"/>
    </row>
    <row r="831">
      <c r="D831" s="36"/>
      <c r="G831" s="28"/>
    </row>
    <row r="832">
      <c r="D832" s="36"/>
      <c r="G832" s="28"/>
    </row>
    <row r="833">
      <c r="D833" s="36"/>
      <c r="G833" s="28"/>
    </row>
    <row r="834">
      <c r="D834" s="36"/>
      <c r="G834" s="28"/>
    </row>
    <row r="835">
      <c r="D835" s="36"/>
      <c r="G835" s="28"/>
    </row>
    <row r="836">
      <c r="D836" s="36"/>
      <c r="G836" s="28"/>
    </row>
    <row r="837">
      <c r="D837" s="36"/>
      <c r="G837" s="28"/>
    </row>
    <row r="838">
      <c r="D838" s="36"/>
      <c r="G838" s="28"/>
    </row>
    <row r="839">
      <c r="D839" s="36"/>
      <c r="G839" s="28"/>
    </row>
    <row r="840">
      <c r="D840" s="36"/>
      <c r="G840" s="28"/>
    </row>
    <row r="841">
      <c r="D841" s="36"/>
      <c r="G841" s="28"/>
    </row>
    <row r="842">
      <c r="D842" s="36"/>
      <c r="G842" s="28"/>
    </row>
    <row r="843">
      <c r="D843" s="36"/>
      <c r="G843" s="28"/>
    </row>
    <row r="844">
      <c r="D844" s="36"/>
      <c r="G844" s="28"/>
    </row>
    <row r="845">
      <c r="D845" s="36"/>
      <c r="G845" s="28"/>
    </row>
    <row r="846">
      <c r="D846" s="36"/>
      <c r="G846" s="28"/>
    </row>
    <row r="847">
      <c r="D847" s="36"/>
      <c r="G847" s="28"/>
    </row>
    <row r="848">
      <c r="D848" s="36"/>
      <c r="G848" s="28"/>
    </row>
    <row r="849">
      <c r="D849" s="36"/>
      <c r="G849" s="28"/>
    </row>
    <row r="850">
      <c r="D850" s="36"/>
      <c r="G850" s="28"/>
    </row>
    <row r="851">
      <c r="D851" s="36"/>
      <c r="G851" s="28"/>
    </row>
    <row r="852">
      <c r="D852" s="36"/>
      <c r="G852" s="28"/>
    </row>
    <row r="853">
      <c r="D853" s="36"/>
      <c r="G853" s="28"/>
    </row>
    <row r="854">
      <c r="D854" s="36"/>
      <c r="G854" s="28"/>
    </row>
    <row r="855">
      <c r="D855" s="36"/>
      <c r="G855" s="28"/>
    </row>
    <row r="856">
      <c r="D856" s="36"/>
      <c r="G856" s="28"/>
    </row>
    <row r="857">
      <c r="D857" s="36"/>
      <c r="G857" s="28"/>
    </row>
    <row r="858">
      <c r="D858" s="36"/>
      <c r="G858" s="28"/>
    </row>
    <row r="859">
      <c r="D859" s="36"/>
      <c r="G859" s="28"/>
    </row>
    <row r="860">
      <c r="D860" s="36"/>
      <c r="G860" s="28"/>
    </row>
    <row r="861">
      <c r="D861" s="36"/>
      <c r="G861" s="28"/>
    </row>
    <row r="862">
      <c r="D862" s="36"/>
      <c r="G862" s="28"/>
    </row>
    <row r="863">
      <c r="D863" s="36"/>
      <c r="G863" s="28"/>
    </row>
    <row r="864">
      <c r="D864" s="36"/>
      <c r="G864" s="28"/>
    </row>
    <row r="865">
      <c r="D865" s="36"/>
      <c r="G865" s="28"/>
    </row>
    <row r="866">
      <c r="D866" s="36"/>
      <c r="G866" s="28"/>
    </row>
    <row r="867">
      <c r="D867" s="36"/>
      <c r="G867" s="28"/>
    </row>
    <row r="868">
      <c r="D868" s="36"/>
      <c r="G868" s="28"/>
    </row>
    <row r="869">
      <c r="D869" s="36"/>
      <c r="G869" s="28"/>
    </row>
    <row r="870">
      <c r="D870" s="36"/>
      <c r="G870" s="28"/>
    </row>
    <row r="871">
      <c r="D871" s="36"/>
      <c r="G871" s="28"/>
    </row>
    <row r="872">
      <c r="D872" s="36"/>
      <c r="G872" s="28"/>
    </row>
    <row r="873">
      <c r="D873" s="36"/>
      <c r="G873" s="28"/>
    </row>
    <row r="874">
      <c r="D874" s="36"/>
      <c r="G874" s="28"/>
    </row>
    <row r="875">
      <c r="D875" s="36"/>
      <c r="G875" s="28"/>
    </row>
    <row r="876">
      <c r="D876" s="36"/>
      <c r="G876" s="28"/>
    </row>
    <row r="877">
      <c r="D877" s="36"/>
      <c r="G877" s="28"/>
    </row>
    <row r="878">
      <c r="D878" s="36"/>
      <c r="G878" s="28"/>
    </row>
    <row r="879">
      <c r="D879" s="36"/>
      <c r="G879" s="28"/>
    </row>
    <row r="880">
      <c r="D880" s="36"/>
      <c r="G880" s="28"/>
    </row>
    <row r="881">
      <c r="D881" s="36"/>
      <c r="G881" s="28"/>
    </row>
    <row r="882">
      <c r="D882" s="36"/>
      <c r="G882" s="28"/>
    </row>
    <row r="883">
      <c r="D883" s="36"/>
      <c r="G883" s="28"/>
    </row>
    <row r="884">
      <c r="D884" s="36"/>
      <c r="G884" s="28"/>
    </row>
    <row r="885">
      <c r="D885" s="36"/>
      <c r="G885" s="28"/>
    </row>
    <row r="886">
      <c r="D886" s="36"/>
      <c r="G886" s="28"/>
    </row>
    <row r="887">
      <c r="D887" s="36"/>
      <c r="G887" s="28"/>
    </row>
    <row r="888">
      <c r="D888" s="36"/>
      <c r="G888" s="28"/>
    </row>
    <row r="889">
      <c r="D889" s="36"/>
      <c r="G889" s="28"/>
    </row>
    <row r="890">
      <c r="D890" s="36"/>
      <c r="G890" s="28"/>
    </row>
    <row r="891">
      <c r="D891" s="36"/>
      <c r="G891" s="28"/>
    </row>
    <row r="892">
      <c r="D892" s="36"/>
      <c r="G892" s="28"/>
    </row>
    <row r="893">
      <c r="D893" s="36"/>
      <c r="G893" s="28"/>
    </row>
    <row r="894">
      <c r="D894" s="36"/>
      <c r="G894" s="28"/>
    </row>
    <row r="895">
      <c r="D895" s="36"/>
      <c r="G895" s="28"/>
    </row>
    <row r="896">
      <c r="D896" s="36"/>
      <c r="G896" s="28"/>
    </row>
    <row r="897">
      <c r="D897" s="36"/>
      <c r="G897" s="28"/>
    </row>
    <row r="898">
      <c r="D898" s="36"/>
      <c r="G898" s="28"/>
    </row>
    <row r="899">
      <c r="D899" s="36"/>
      <c r="G899" s="28"/>
    </row>
    <row r="900">
      <c r="D900" s="36"/>
      <c r="G900" s="28"/>
    </row>
    <row r="901">
      <c r="D901" s="36"/>
      <c r="G901" s="28"/>
    </row>
    <row r="902">
      <c r="D902" s="36"/>
      <c r="G902" s="28"/>
    </row>
    <row r="903">
      <c r="D903" s="36"/>
      <c r="G903" s="28"/>
    </row>
    <row r="904">
      <c r="D904" s="36"/>
      <c r="G904" s="28"/>
    </row>
    <row r="905">
      <c r="D905" s="36"/>
      <c r="G905" s="28"/>
    </row>
    <row r="906">
      <c r="D906" s="36"/>
      <c r="G906" s="28"/>
    </row>
    <row r="907">
      <c r="D907" s="36"/>
      <c r="G907" s="28"/>
    </row>
    <row r="908">
      <c r="D908" s="36"/>
      <c r="G908" s="28"/>
    </row>
    <row r="909">
      <c r="D909" s="36"/>
      <c r="G909" s="28"/>
    </row>
    <row r="910">
      <c r="D910" s="36"/>
      <c r="G910" s="28"/>
    </row>
    <row r="911">
      <c r="D911" s="36"/>
      <c r="G911" s="28"/>
    </row>
    <row r="912">
      <c r="D912" s="36"/>
      <c r="G912" s="28"/>
    </row>
    <row r="913">
      <c r="D913" s="36"/>
      <c r="G913" s="28"/>
    </row>
    <row r="914">
      <c r="D914" s="36"/>
      <c r="G914" s="28"/>
    </row>
    <row r="915">
      <c r="D915" s="36"/>
      <c r="G915" s="28"/>
    </row>
    <row r="916">
      <c r="D916" s="36"/>
      <c r="G916" s="28"/>
    </row>
    <row r="917">
      <c r="D917" s="36"/>
      <c r="G917" s="28"/>
    </row>
    <row r="918">
      <c r="D918" s="36"/>
      <c r="G918" s="28"/>
    </row>
    <row r="919">
      <c r="D919" s="36"/>
      <c r="G919" s="28"/>
    </row>
    <row r="920">
      <c r="D920" s="36"/>
      <c r="G920" s="28"/>
    </row>
    <row r="921">
      <c r="D921" s="36"/>
      <c r="G921" s="28"/>
    </row>
    <row r="922">
      <c r="D922" s="36"/>
      <c r="G922" s="28"/>
    </row>
    <row r="923">
      <c r="D923" s="36"/>
      <c r="G923" s="28"/>
    </row>
    <row r="924">
      <c r="D924" s="36"/>
      <c r="G924" s="28"/>
    </row>
    <row r="925">
      <c r="D925" s="36"/>
      <c r="G925" s="28"/>
    </row>
    <row r="926">
      <c r="D926" s="36"/>
      <c r="G926" s="28"/>
    </row>
    <row r="927">
      <c r="D927" s="36"/>
      <c r="G927" s="28"/>
    </row>
    <row r="928">
      <c r="D928" s="36"/>
      <c r="G928" s="28"/>
    </row>
    <row r="929">
      <c r="D929" s="36"/>
      <c r="G929" s="28"/>
    </row>
    <row r="930">
      <c r="D930" s="36"/>
      <c r="G930" s="28"/>
    </row>
    <row r="931">
      <c r="D931" s="36"/>
      <c r="G931" s="28"/>
    </row>
    <row r="932">
      <c r="D932" s="36"/>
      <c r="G932" s="28"/>
    </row>
    <row r="933">
      <c r="D933" s="36"/>
      <c r="G933" s="28"/>
    </row>
    <row r="934">
      <c r="D934" s="36"/>
      <c r="G934" s="28"/>
    </row>
    <row r="935">
      <c r="D935" s="36"/>
      <c r="G935" s="28"/>
    </row>
    <row r="936">
      <c r="D936" s="36"/>
      <c r="G936" s="28"/>
    </row>
    <row r="937">
      <c r="D937" s="36"/>
      <c r="G937" s="28"/>
    </row>
    <row r="938">
      <c r="D938" s="36"/>
      <c r="G938" s="28"/>
    </row>
    <row r="939">
      <c r="D939" s="36"/>
      <c r="G939" s="28"/>
    </row>
    <row r="940">
      <c r="D940" s="36"/>
      <c r="G940" s="28"/>
    </row>
    <row r="941">
      <c r="D941" s="36"/>
      <c r="G941" s="28"/>
    </row>
    <row r="942">
      <c r="D942" s="36"/>
      <c r="G942" s="28"/>
    </row>
    <row r="943">
      <c r="D943" s="36"/>
      <c r="G943" s="28"/>
    </row>
    <row r="944">
      <c r="D944" s="36"/>
      <c r="G944" s="28"/>
    </row>
    <row r="945">
      <c r="D945" s="36"/>
      <c r="G945" s="28"/>
    </row>
    <row r="946">
      <c r="D946" s="36"/>
      <c r="G946" s="28"/>
    </row>
    <row r="947">
      <c r="D947" s="36"/>
      <c r="G947" s="28"/>
    </row>
    <row r="948">
      <c r="D948" s="36"/>
      <c r="G948" s="28"/>
    </row>
    <row r="949">
      <c r="D949" s="36"/>
      <c r="G949" s="28"/>
    </row>
    <row r="950">
      <c r="D950" s="36"/>
      <c r="G950" s="28"/>
    </row>
    <row r="951">
      <c r="D951" s="36"/>
      <c r="G951" s="28"/>
    </row>
    <row r="952">
      <c r="D952" s="36"/>
      <c r="G952" s="28"/>
    </row>
    <row r="953">
      <c r="D953" s="36"/>
      <c r="G953" s="28"/>
    </row>
    <row r="954">
      <c r="D954" s="36"/>
      <c r="G954" s="28"/>
    </row>
    <row r="955">
      <c r="D955" s="36"/>
      <c r="G955" s="28"/>
    </row>
    <row r="956">
      <c r="D956" s="36"/>
      <c r="G956" s="28"/>
    </row>
    <row r="957">
      <c r="D957" s="36"/>
      <c r="G957" s="28"/>
    </row>
    <row r="958">
      <c r="D958" s="36"/>
      <c r="G958" s="28"/>
    </row>
    <row r="959">
      <c r="D959" s="36"/>
      <c r="G959" s="28"/>
    </row>
    <row r="960">
      <c r="D960" s="36"/>
      <c r="G960" s="28"/>
    </row>
    <row r="961">
      <c r="D961" s="36"/>
      <c r="G961" s="28"/>
    </row>
    <row r="962">
      <c r="D962" s="36"/>
      <c r="G962" s="28"/>
    </row>
    <row r="963">
      <c r="D963" s="36"/>
      <c r="G963" s="28"/>
    </row>
    <row r="964">
      <c r="D964" s="36"/>
      <c r="G964" s="28"/>
    </row>
    <row r="965">
      <c r="D965" s="36"/>
      <c r="G965" s="28"/>
    </row>
    <row r="966">
      <c r="D966" s="36"/>
      <c r="G966" s="28"/>
    </row>
    <row r="967">
      <c r="D967" s="36"/>
      <c r="G967" s="28"/>
    </row>
    <row r="968">
      <c r="D968" s="36"/>
      <c r="G968" s="28"/>
    </row>
    <row r="969">
      <c r="D969" s="36"/>
      <c r="G969" s="28"/>
    </row>
    <row r="970">
      <c r="D970" s="36"/>
      <c r="G970" s="28"/>
    </row>
    <row r="971">
      <c r="D971" s="36"/>
      <c r="G971" s="28"/>
    </row>
    <row r="972">
      <c r="D972" s="36"/>
      <c r="G972" s="28"/>
    </row>
    <row r="973">
      <c r="D973" s="36"/>
      <c r="G973" s="28"/>
    </row>
    <row r="974">
      <c r="D974" s="36"/>
      <c r="G974" s="28"/>
    </row>
    <row r="975">
      <c r="D975" s="36"/>
      <c r="G975" s="28"/>
    </row>
    <row r="976">
      <c r="D976" s="36"/>
      <c r="G976" s="28"/>
    </row>
    <row r="977">
      <c r="D977" s="36"/>
      <c r="G977" s="28"/>
    </row>
    <row r="978">
      <c r="D978" s="36"/>
      <c r="G978" s="28"/>
    </row>
    <row r="979">
      <c r="D979" s="36"/>
      <c r="G979" s="28"/>
    </row>
    <row r="980">
      <c r="D980" s="36"/>
      <c r="G980" s="28"/>
    </row>
    <row r="981">
      <c r="D981" s="36"/>
      <c r="G981" s="28"/>
    </row>
    <row r="982">
      <c r="D982" s="36"/>
      <c r="G982" s="28"/>
    </row>
    <row r="983">
      <c r="D983" s="36"/>
      <c r="G983" s="28"/>
    </row>
    <row r="984">
      <c r="D984" s="36"/>
      <c r="G984" s="28"/>
    </row>
    <row r="985">
      <c r="D985" s="36"/>
      <c r="G985" s="28"/>
    </row>
    <row r="986">
      <c r="D986" s="36"/>
      <c r="G986" s="28"/>
    </row>
    <row r="987">
      <c r="D987" s="36"/>
      <c r="G987" s="28"/>
    </row>
    <row r="988">
      <c r="D988" s="36"/>
      <c r="G988" s="28"/>
    </row>
    <row r="989">
      <c r="D989" s="36"/>
      <c r="G989" s="28"/>
    </row>
    <row r="990">
      <c r="D990" s="36"/>
      <c r="G990" s="28"/>
    </row>
    <row r="991">
      <c r="D991" s="36"/>
      <c r="G991" s="28"/>
    </row>
    <row r="992">
      <c r="D992" s="36"/>
      <c r="G992" s="28"/>
    </row>
    <row r="993">
      <c r="D993" s="36"/>
      <c r="G993" s="28"/>
    </row>
    <row r="994">
      <c r="D994" s="36"/>
      <c r="G994" s="28"/>
    </row>
    <row r="995">
      <c r="D995" s="36"/>
      <c r="G995" s="28"/>
    </row>
    <row r="996">
      <c r="D996" s="36"/>
      <c r="G996" s="28"/>
    </row>
    <row r="997">
      <c r="D997" s="36"/>
      <c r="G997" s="28"/>
    </row>
    <row r="998">
      <c r="D998" s="36"/>
      <c r="G998" s="28"/>
    </row>
    <row r="999">
      <c r="D999" s="36"/>
      <c r="G999" s="28"/>
    </row>
    <row r="1000">
      <c r="D1000" s="36"/>
      <c r="G1000" s="28"/>
    </row>
    <row r="1001">
      <c r="D1001" s="36"/>
      <c r="G1001" s="28"/>
    </row>
    <row r="1002">
      <c r="D1002" s="36"/>
      <c r="G1002" s="28"/>
    </row>
    <row r="1003">
      <c r="D1003" s="36"/>
      <c r="G1003" s="28"/>
    </row>
    <row r="1004">
      <c r="D1004" s="36"/>
      <c r="G1004" s="28"/>
    </row>
    <row r="1005">
      <c r="D1005" s="36"/>
      <c r="G1005" s="28"/>
    </row>
    <row r="1006">
      <c r="D1006" s="36"/>
      <c r="G1006" s="28"/>
    </row>
    <row r="1007">
      <c r="D1007" s="36"/>
      <c r="G1007" s="28"/>
    </row>
    <row r="1008">
      <c r="D1008" s="36"/>
      <c r="G1008" s="28"/>
    </row>
    <row r="1009">
      <c r="D1009" s="36"/>
      <c r="G1009" s="28"/>
    </row>
    <row r="1010">
      <c r="D1010" s="36"/>
      <c r="G1010" s="28"/>
    </row>
    <row r="1011">
      <c r="D1011" s="36"/>
      <c r="G1011" s="28"/>
    </row>
    <row r="1012">
      <c r="D1012" s="36"/>
      <c r="G1012" s="28"/>
    </row>
    <row r="1013">
      <c r="D1013" s="36"/>
      <c r="G1013" s="28"/>
    </row>
    <row r="1014">
      <c r="D1014" s="36"/>
      <c r="G1014" s="28"/>
    </row>
    <row r="1015">
      <c r="D1015" s="36"/>
      <c r="G1015" s="28"/>
    </row>
    <row r="1016">
      <c r="D1016" s="36"/>
      <c r="G1016" s="28"/>
    </row>
    <row r="1017">
      <c r="D1017" s="36"/>
      <c r="G1017" s="28"/>
    </row>
    <row r="1018">
      <c r="D1018" s="36"/>
      <c r="G1018" s="28"/>
    </row>
    <row r="1019">
      <c r="D1019" s="36"/>
      <c r="G1019" s="28"/>
    </row>
    <row r="1020">
      <c r="D1020" s="36"/>
      <c r="G1020" s="28"/>
    </row>
    <row r="1021">
      <c r="D1021" s="36"/>
      <c r="G1021" s="28"/>
    </row>
    <row r="1022">
      <c r="D1022" s="36"/>
      <c r="G1022" s="28"/>
    </row>
    <row r="1023">
      <c r="D1023" s="36"/>
      <c r="G1023" s="28"/>
    </row>
    <row r="1024">
      <c r="D1024" s="36"/>
      <c r="G1024" s="28"/>
    </row>
    <row r="1025">
      <c r="D1025" s="36"/>
      <c r="G1025" s="28"/>
    </row>
    <row r="1026">
      <c r="D1026" s="36"/>
      <c r="G1026" s="28"/>
    </row>
    <row r="1027">
      <c r="D1027" s="36"/>
      <c r="G1027" s="28"/>
    </row>
    <row r="1028">
      <c r="D1028" s="36"/>
      <c r="G1028" s="28"/>
    </row>
    <row r="1029">
      <c r="D1029" s="36"/>
      <c r="G1029" s="28"/>
    </row>
    <row r="1030">
      <c r="D1030" s="36"/>
      <c r="G1030" s="28"/>
    </row>
    <row r="1031">
      <c r="D1031" s="36"/>
      <c r="G1031" s="28"/>
    </row>
    <row r="1032">
      <c r="D1032" s="36"/>
      <c r="G1032" s="28"/>
    </row>
    <row r="1033">
      <c r="D1033" s="36"/>
      <c r="G1033" s="28"/>
    </row>
    <row r="1034">
      <c r="D1034" s="36"/>
      <c r="G1034" s="28"/>
    </row>
    <row r="1035">
      <c r="D1035" s="36"/>
      <c r="G1035" s="28"/>
    </row>
    <row r="1036">
      <c r="D1036" s="36"/>
      <c r="G1036" s="28"/>
    </row>
    <row r="1037">
      <c r="D1037" s="36"/>
      <c r="G1037" s="28"/>
    </row>
    <row r="1038">
      <c r="D1038" s="36"/>
      <c r="G1038" s="28"/>
    </row>
    <row r="1039">
      <c r="D1039" s="36"/>
      <c r="G1039" s="28"/>
    </row>
    <row r="1040">
      <c r="D1040" s="36"/>
      <c r="G1040" s="28"/>
    </row>
    <row r="1041">
      <c r="D1041" s="36"/>
      <c r="G1041" s="28"/>
    </row>
    <row r="1042">
      <c r="D1042" s="36"/>
      <c r="G1042" s="28"/>
    </row>
    <row r="1043">
      <c r="D1043" s="36"/>
      <c r="G1043" s="28"/>
    </row>
    <row r="1044">
      <c r="D1044" s="36"/>
      <c r="G1044" s="28"/>
    </row>
    <row r="1045">
      <c r="D1045" s="36"/>
      <c r="G1045" s="28"/>
    </row>
    <row r="1046">
      <c r="D1046" s="36"/>
      <c r="G1046" s="28"/>
    </row>
    <row r="1047">
      <c r="D1047" s="36"/>
      <c r="G1047" s="28"/>
    </row>
    <row r="1048">
      <c r="D1048" s="36"/>
      <c r="G1048" s="28"/>
    </row>
    <row r="1049">
      <c r="D1049" s="36"/>
      <c r="G1049" s="28"/>
    </row>
    <row r="1050">
      <c r="D1050" s="36"/>
      <c r="G1050" s="28"/>
    </row>
    <row r="1051">
      <c r="D1051" s="36"/>
      <c r="G1051" s="28"/>
    </row>
    <row r="1052">
      <c r="D1052" s="36"/>
      <c r="G1052" s="28"/>
    </row>
    <row r="1053">
      <c r="D1053" s="36"/>
      <c r="G1053" s="28"/>
    </row>
    <row r="1054">
      <c r="D1054" s="36"/>
      <c r="G1054" s="28"/>
    </row>
    <row r="1055">
      <c r="D1055" s="36"/>
      <c r="G1055" s="28"/>
    </row>
    <row r="1056">
      <c r="D1056" s="36"/>
      <c r="G1056" s="28"/>
    </row>
    <row r="1057">
      <c r="D1057" s="36"/>
      <c r="G1057" s="28"/>
    </row>
    <row r="1058">
      <c r="D1058" s="36"/>
      <c r="G1058" s="28"/>
    </row>
    <row r="1059">
      <c r="D1059" s="36"/>
      <c r="G1059" s="28"/>
    </row>
    <row r="1060">
      <c r="D1060" s="36"/>
      <c r="G1060" s="28"/>
    </row>
    <row r="1061">
      <c r="D1061" s="36"/>
      <c r="G1061" s="28"/>
    </row>
    <row r="1062">
      <c r="D1062" s="36"/>
      <c r="G1062" s="28"/>
    </row>
    <row r="1063">
      <c r="D1063" s="36"/>
      <c r="G1063" s="28"/>
    </row>
    <row r="1064">
      <c r="D1064" s="36"/>
      <c r="G1064" s="28"/>
    </row>
    <row r="1065">
      <c r="D1065" s="36"/>
      <c r="G1065" s="28"/>
    </row>
    <row r="1066">
      <c r="D1066" s="36"/>
      <c r="G1066" s="28"/>
    </row>
    <row r="1067">
      <c r="D1067" s="36"/>
      <c r="G1067" s="28"/>
    </row>
    <row r="1068">
      <c r="D1068" s="36"/>
      <c r="G1068" s="28"/>
    </row>
    <row r="1069">
      <c r="D1069" s="36"/>
      <c r="G1069" s="28"/>
    </row>
    <row r="1070">
      <c r="D1070" s="36"/>
      <c r="G1070" s="28"/>
    </row>
    <row r="1071">
      <c r="D1071" s="36"/>
      <c r="G1071" s="28"/>
    </row>
    <row r="1072">
      <c r="D1072" s="36"/>
      <c r="G1072" s="28"/>
    </row>
    <row r="1073">
      <c r="D1073" s="36"/>
      <c r="G1073" s="28"/>
    </row>
    <row r="1074">
      <c r="D1074" s="36"/>
      <c r="G1074" s="28"/>
    </row>
    <row r="1075">
      <c r="D1075" s="36"/>
      <c r="G1075" s="28"/>
    </row>
    <row r="1076">
      <c r="D1076" s="36"/>
      <c r="G1076" s="28"/>
    </row>
    <row r="1077">
      <c r="D1077" s="36"/>
      <c r="G1077" s="28"/>
    </row>
    <row r="1078">
      <c r="D1078" s="36"/>
      <c r="G1078" s="28"/>
    </row>
    <row r="1079">
      <c r="D1079" s="36"/>
      <c r="G1079" s="28"/>
    </row>
    <row r="1080">
      <c r="D1080" s="36"/>
      <c r="G1080" s="28"/>
    </row>
    <row r="1081">
      <c r="D1081" s="36"/>
      <c r="G1081" s="28"/>
    </row>
    <row r="1082">
      <c r="D1082" s="36"/>
      <c r="G1082" s="28"/>
    </row>
    <row r="1083">
      <c r="D1083" s="36"/>
      <c r="G1083" s="28"/>
    </row>
    <row r="1084">
      <c r="D1084" s="36"/>
      <c r="G1084" s="28"/>
    </row>
    <row r="1085">
      <c r="D1085" s="36"/>
      <c r="G1085" s="28"/>
    </row>
    <row r="1086">
      <c r="D1086" s="36"/>
      <c r="G1086" s="28"/>
    </row>
    <row r="1087">
      <c r="D1087" s="36"/>
      <c r="G1087" s="28"/>
    </row>
    <row r="1088">
      <c r="D1088" s="36"/>
      <c r="G1088" s="28"/>
    </row>
    <row r="1089">
      <c r="D1089" s="36"/>
      <c r="G1089" s="28"/>
    </row>
    <row r="1090">
      <c r="D1090" s="36"/>
      <c r="G1090" s="28"/>
    </row>
    <row r="1091">
      <c r="D1091" s="36"/>
      <c r="G1091" s="28"/>
    </row>
    <row r="1092">
      <c r="D1092" s="36"/>
      <c r="G1092" s="28"/>
    </row>
    <row r="1093">
      <c r="D1093" s="36"/>
      <c r="G1093" s="28"/>
    </row>
    <row r="1094">
      <c r="D1094" s="36"/>
      <c r="G1094" s="28"/>
    </row>
    <row r="1095">
      <c r="D1095" s="36"/>
      <c r="G1095" s="28"/>
    </row>
    <row r="1096">
      <c r="D1096" s="36"/>
      <c r="G1096" s="28"/>
    </row>
    <row r="1097">
      <c r="D1097" s="36"/>
      <c r="G1097" s="28"/>
    </row>
    <row r="1098">
      <c r="D1098" s="36"/>
      <c r="G1098" s="28"/>
    </row>
    <row r="1099">
      <c r="D1099" s="36"/>
      <c r="G1099" s="28"/>
    </row>
    <row r="1100">
      <c r="D1100" s="36"/>
      <c r="G1100" s="28"/>
    </row>
    <row r="1101">
      <c r="D1101" s="36"/>
      <c r="G1101" s="28"/>
    </row>
    <row r="1102">
      <c r="D1102" s="36"/>
      <c r="G1102" s="28"/>
    </row>
    <row r="1103">
      <c r="D1103" s="36"/>
      <c r="G1103" s="28"/>
    </row>
    <row r="1104">
      <c r="D1104" s="36"/>
      <c r="G1104" s="28"/>
    </row>
    <row r="1105">
      <c r="D1105" s="36"/>
      <c r="G1105" s="28"/>
    </row>
    <row r="1106">
      <c r="D1106" s="36"/>
      <c r="G1106" s="28"/>
    </row>
    <row r="1107">
      <c r="D1107" s="36"/>
      <c r="G1107" s="28"/>
    </row>
    <row r="1108">
      <c r="D1108" s="36"/>
      <c r="G1108" s="28"/>
    </row>
    <row r="1109">
      <c r="D1109" s="36"/>
      <c r="G1109" s="28"/>
    </row>
    <row r="1110">
      <c r="D1110" s="36"/>
      <c r="G1110" s="28"/>
    </row>
    <row r="1111">
      <c r="D1111" s="36"/>
      <c r="G1111" s="28"/>
    </row>
    <row r="1112">
      <c r="D1112" s="36"/>
      <c r="G1112" s="28"/>
    </row>
    <row r="1113">
      <c r="D1113" s="36"/>
      <c r="G1113" s="28"/>
    </row>
    <row r="1114">
      <c r="D1114" s="36"/>
      <c r="G1114" s="28"/>
    </row>
    <row r="1115">
      <c r="D1115" s="36"/>
      <c r="G1115" s="28"/>
    </row>
    <row r="1116">
      <c r="D1116" s="36"/>
      <c r="G1116" s="28"/>
    </row>
    <row r="1117">
      <c r="D1117" s="36"/>
      <c r="G1117" s="28"/>
    </row>
    <row r="1118">
      <c r="D1118" s="36"/>
      <c r="G1118" s="28"/>
    </row>
    <row r="1119">
      <c r="D1119" s="36"/>
      <c r="G1119" s="28"/>
    </row>
    <row r="1120">
      <c r="D1120" s="36"/>
      <c r="G1120" s="28"/>
    </row>
    <row r="1121">
      <c r="D1121" s="36"/>
      <c r="G1121" s="28"/>
    </row>
    <row r="1122">
      <c r="D1122" s="36"/>
      <c r="G1122" s="28"/>
    </row>
    <row r="1123">
      <c r="D1123" s="36"/>
      <c r="G1123" s="28"/>
    </row>
    <row r="1124">
      <c r="D1124" s="36"/>
      <c r="G1124" s="28"/>
    </row>
    <row r="1125">
      <c r="D1125" s="36"/>
      <c r="G1125" s="28"/>
    </row>
    <row r="1126">
      <c r="D1126" s="36"/>
      <c r="G1126" s="28"/>
    </row>
    <row r="1127">
      <c r="D1127" s="36"/>
      <c r="G1127" s="28"/>
    </row>
    <row r="1128">
      <c r="D1128" s="36"/>
      <c r="G1128" s="28"/>
    </row>
    <row r="1129">
      <c r="D1129" s="36"/>
      <c r="G1129" s="28"/>
    </row>
    <row r="1130">
      <c r="D1130" s="36"/>
      <c r="G1130" s="28"/>
    </row>
    <row r="1131">
      <c r="D1131" s="36"/>
      <c r="G1131" s="28"/>
    </row>
    <row r="1132">
      <c r="D1132" s="36"/>
      <c r="G1132" s="28"/>
    </row>
    <row r="1133">
      <c r="D1133" s="36"/>
      <c r="G1133" s="28"/>
    </row>
    <row r="1134">
      <c r="D1134" s="36"/>
      <c r="G1134" s="28"/>
    </row>
    <row r="1135">
      <c r="D1135" s="36"/>
      <c r="G1135" s="28"/>
    </row>
    <row r="1136">
      <c r="D1136" s="36"/>
      <c r="G1136" s="28"/>
    </row>
    <row r="1137">
      <c r="D1137" s="36"/>
      <c r="G1137" s="28"/>
    </row>
    <row r="1138">
      <c r="D1138" s="36"/>
      <c r="G1138" s="28"/>
    </row>
    <row r="1139">
      <c r="D1139" s="36"/>
      <c r="G1139" s="28"/>
    </row>
    <row r="1140">
      <c r="D1140" s="36"/>
      <c r="G1140" s="28"/>
    </row>
    <row r="1141">
      <c r="D1141" s="36"/>
      <c r="G1141" s="28"/>
    </row>
    <row r="1142">
      <c r="D1142" s="36"/>
      <c r="G1142" s="28"/>
    </row>
    <row r="1143">
      <c r="D1143" s="36"/>
      <c r="G1143" s="28"/>
    </row>
    <row r="1144">
      <c r="D1144" s="36"/>
      <c r="G1144" s="28"/>
    </row>
    <row r="1145">
      <c r="D1145" s="36"/>
      <c r="G1145" s="28"/>
    </row>
    <row r="1146">
      <c r="D1146" s="36"/>
      <c r="G1146" s="28"/>
    </row>
    <row r="1147">
      <c r="D1147" s="36"/>
      <c r="G1147" s="28"/>
    </row>
    <row r="1148">
      <c r="D1148" s="36"/>
      <c r="G1148" s="28"/>
    </row>
    <row r="1149">
      <c r="D1149" s="36"/>
      <c r="G1149" s="28"/>
    </row>
    <row r="1150">
      <c r="D1150" s="36"/>
      <c r="G1150" s="28"/>
    </row>
    <row r="1151">
      <c r="D1151" s="36"/>
      <c r="G1151" s="28"/>
    </row>
    <row r="1152">
      <c r="D1152" s="36"/>
      <c r="G1152" s="28"/>
    </row>
    <row r="1153">
      <c r="D1153" s="36"/>
      <c r="G1153" s="28"/>
    </row>
    <row r="1154">
      <c r="D1154" s="36"/>
      <c r="G1154" s="28"/>
    </row>
    <row r="1155">
      <c r="D1155" s="36"/>
      <c r="G1155" s="28"/>
    </row>
    <row r="1156">
      <c r="D1156" s="36"/>
      <c r="G1156" s="28"/>
    </row>
    <row r="1157">
      <c r="D1157" s="36"/>
      <c r="G1157" s="28"/>
    </row>
    <row r="1158">
      <c r="D1158" s="36"/>
      <c r="G1158" s="28"/>
    </row>
    <row r="1159">
      <c r="D1159" s="36"/>
      <c r="G1159" s="28"/>
    </row>
    <row r="1160">
      <c r="D1160" s="36"/>
      <c r="G1160" s="28"/>
    </row>
    <row r="1161">
      <c r="D1161" s="36"/>
      <c r="G1161" s="28"/>
    </row>
    <row r="1162">
      <c r="D1162" s="36"/>
      <c r="G1162" s="28"/>
    </row>
    <row r="1163">
      <c r="D1163" s="36"/>
      <c r="G1163" s="28"/>
    </row>
    <row r="1164">
      <c r="D1164" s="36"/>
      <c r="G1164" s="28"/>
    </row>
    <row r="1165">
      <c r="D1165" s="36"/>
      <c r="G1165" s="28"/>
    </row>
    <row r="1166">
      <c r="D1166" s="36"/>
      <c r="G1166" s="28"/>
    </row>
    <row r="1167">
      <c r="D1167" s="36"/>
      <c r="G1167" s="28"/>
    </row>
    <row r="1168">
      <c r="D1168" s="36"/>
      <c r="G1168" s="28"/>
    </row>
    <row r="1169">
      <c r="D1169" s="36"/>
      <c r="G1169" s="28"/>
    </row>
    <row r="1170">
      <c r="D1170" s="36"/>
      <c r="G1170" s="28"/>
    </row>
    <row r="1171">
      <c r="D1171" s="36"/>
      <c r="G1171" s="28"/>
    </row>
    <row r="1172">
      <c r="D1172" s="36"/>
      <c r="G1172" s="28"/>
    </row>
    <row r="1173">
      <c r="D1173" s="36"/>
      <c r="G1173" s="28"/>
    </row>
    <row r="1174">
      <c r="D1174" s="36"/>
      <c r="G1174" s="28"/>
    </row>
    <row r="1175">
      <c r="D1175" s="36"/>
      <c r="G1175" s="28"/>
    </row>
    <row r="1176">
      <c r="D1176" s="36"/>
      <c r="G1176" s="28"/>
    </row>
    <row r="1177">
      <c r="D1177" s="36"/>
      <c r="G1177" s="28"/>
    </row>
    <row r="1178">
      <c r="D1178" s="36"/>
      <c r="G1178" s="28"/>
    </row>
    <row r="1179">
      <c r="D1179" s="36"/>
      <c r="G1179" s="28"/>
    </row>
    <row r="1180">
      <c r="D1180" s="36"/>
      <c r="G1180" s="28"/>
    </row>
    <row r="1181">
      <c r="D1181" s="36"/>
      <c r="G1181" s="28"/>
    </row>
    <row r="1182">
      <c r="D1182" s="36"/>
      <c r="G1182" s="28"/>
    </row>
    <row r="1183">
      <c r="D1183" s="36"/>
      <c r="G1183" s="28"/>
    </row>
    <row r="1184">
      <c r="D1184" s="36"/>
      <c r="G1184" s="28"/>
    </row>
    <row r="1185">
      <c r="D1185" s="36"/>
      <c r="G1185" s="28"/>
    </row>
    <row r="1186">
      <c r="D1186" s="36"/>
      <c r="G1186" s="28"/>
    </row>
    <row r="1187">
      <c r="D1187" s="36"/>
      <c r="G1187" s="28"/>
    </row>
    <row r="1188">
      <c r="D1188" s="36"/>
      <c r="G1188" s="28"/>
    </row>
    <row r="1189">
      <c r="D1189" s="36"/>
      <c r="G1189" s="28"/>
    </row>
    <row r="1190">
      <c r="D1190" s="36"/>
      <c r="G1190" s="28"/>
    </row>
    <row r="1191">
      <c r="D1191" s="36"/>
      <c r="G1191" s="28"/>
    </row>
    <row r="1192">
      <c r="D1192" s="36"/>
      <c r="G1192" s="28"/>
    </row>
    <row r="1193">
      <c r="D1193" s="36"/>
      <c r="G1193" s="28"/>
    </row>
    <row r="1194">
      <c r="D1194" s="36"/>
      <c r="G1194" s="28"/>
    </row>
    <row r="1195">
      <c r="D1195" s="36"/>
      <c r="G1195" s="28"/>
    </row>
    <row r="1196">
      <c r="D1196" s="36"/>
      <c r="G1196" s="28"/>
    </row>
    <row r="1197">
      <c r="D1197" s="36"/>
      <c r="G1197" s="28"/>
    </row>
    <row r="1198">
      <c r="D1198" s="36"/>
      <c r="G1198" s="28"/>
    </row>
    <row r="1199">
      <c r="D1199" s="36"/>
      <c r="G1199" s="28"/>
    </row>
    <row r="1200">
      <c r="D1200" s="36"/>
      <c r="G1200" s="28"/>
    </row>
    <row r="1201">
      <c r="D1201" s="36"/>
      <c r="G1201" s="28"/>
    </row>
    <row r="1202">
      <c r="D1202" s="36"/>
      <c r="G1202" s="28"/>
    </row>
    <row r="1203">
      <c r="D1203" s="36"/>
      <c r="G1203" s="28"/>
    </row>
    <row r="1204">
      <c r="D1204" s="36"/>
      <c r="G1204" s="28"/>
    </row>
    <row r="1205">
      <c r="D1205" s="36"/>
      <c r="G1205" s="28"/>
    </row>
    <row r="1206">
      <c r="D1206" s="36"/>
      <c r="G1206" s="28"/>
    </row>
    <row r="1207">
      <c r="D1207" s="36"/>
      <c r="G1207" s="28"/>
    </row>
    <row r="1208">
      <c r="D1208" s="36"/>
      <c r="G1208" s="28"/>
    </row>
    <row r="1209">
      <c r="D1209" s="36"/>
      <c r="G1209" s="28"/>
    </row>
    <row r="1210">
      <c r="D1210" s="36"/>
      <c r="G1210" s="28"/>
    </row>
    <row r="1211">
      <c r="D1211" s="36"/>
      <c r="G1211" s="28"/>
    </row>
    <row r="1212">
      <c r="D1212" s="36"/>
      <c r="G1212" s="28"/>
    </row>
    <row r="1213">
      <c r="D1213" s="36"/>
      <c r="G1213" s="28"/>
    </row>
    <row r="1214">
      <c r="D1214" s="36"/>
      <c r="G1214" s="28"/>
    </row>
    <row r="1215">
      <c r="D1215" s="36"/>
      <c r="G1215" s="28"/>
    </row>
    <row r="1216">
      <c r="D1216" s="36"/>
      <c r="G1216" s="28"/>
    </row>
    <row r="1217">
      <c r="D1217" s="36"/>
      <c r="G1217" s="28"/>
    </row>
    <row r="1218">
      <c r="D1218" s="36"/>
      <c r="G1218" s="28"/>
    </row>
    <row r="1219">
      <c r="D1219" s="36"/>
      <c r="G1219" s="28"/>
    </row>
    <row r="1220">
      <c r="D1220" s="36"/>
      <c r="G1220" s="28"/>
    </row>
    <row r="1221">
      <c r="D1221" s="36"/>
      <c r="G1221" s="28"/>
    </row>
    <row r="1222">
      <c r="D1222" s="36"/>
      <c r="G1222" s="28"/>
    </row>
    <row r="1223">
      <c r="D1223" s="36"/>
      <c r="G1223" s="28"/>
    </row>
    <row r="1224">
      <c r="D1224" s="36"/>
      <c r="G1224" s="28"/>
    </row>
    <row r="1225">
      <c r="D1225" s="36"/>
      <c r="G1225" s="28"/>
    </row>
    <row r="1226">
      <c r="D1226" s="36"/>
      <c r="G1226" s="28"/>
    </row>
    <row r="1227">
      <c r="D1227" s="36"/>
      <c r="G1227" s="28"/>
    </row>
    <row r="1228">
      <c r="D1228" s="36"/>
      <c r="G1228" s="28"/>
    </row>
    <row r="1229">
      <c r="D1229" s="36"/>
      <c r="G1229" s="28"/>
    </row>
    <row r="1230">
      <c r="D1230" s="36"/>
      <c r="G1230" s="28"/>
    </row>
    <row r="1231">
      <c r="D1231" s="36"/>
      <c r="G1231" s="28"/>
    </row>
    <row r="1232">
      <c r="D1232" s="36"/>
      <c r="G1232" s="28"/>
    </row>
    <row r="1233">
      <c r="D1233" s="36"/>
      <c r="G1233" s="28"/>
    </row>
    <row r="1234">
      <c r="D1234" s="36"/>
      <c r="G1234" s="28"/>
    </row>
    <row r="1235">
      <c r="D1235" s="36"/>
      <c r="G1235" s="28"/>
    </row>
    <row r="1236">
      <c r="D1236" s="36"/>
      <c r="G1236" s="28"/>
    </row>
    <row r="1237">
      <c r="D1237" s="36"/>
      <c r="G1237" s="28"/>
    </row>
    <row r="1238">
      <c r="D1238" s="36"/>
      <c r="G1238" s="28"/>
    </row>
    <row r="1239">
      <c r="D1239" s="36"/>
      <c r="G1239" s="28"/>
    </row>
    <row r="1240">
      <c r="D1240" s="36"/>
      <c r="G1240" s="28"/>
    </row>
    <row r="1241">
      <c r="D1241" s="36"/>
      <c r="G1241" s="28"/>
    </row>
    <row r="1242">
      <c r="D1242" s="36"/>
      <c r="G1242" s="28"/>
    </row>
    <row r="1243">
      <c r="D1243" s="36"/>
      <c r="G1243" s="28"/>
    </row>
    <row r="1244">
      <c r="D1244" s="36"/>
      <c r="G1244" s="28"/>
    </row>
    <row r="1245">
      <c r="D1245" s="36"/>
      <c r="G1245" s="28"/>
    </row>
    <row r="1246">
      <c r="D1246" s="36"/>
      <c r="G1246" s="28"/>
    </row>
    <row r="1247">
      <c r="D1247" s="36"/>
      <c r="G1247" s="28"/>
    </row>
    <row r="1248">
      <c r="D1248" s="36"/>
      <c r="G1248" s="28"/>
    </row>
    <row r="1249">
      <c r="D1249" s="36"/>
      <c r="G1249" s="28"/>
    </row>
    <row r="1250">
      <c r="D1250" s="36"/>
      <c r="G1250" s="28"/>
    </row>
    <row r="1251">
      <c r="D1251" s="36"/>
      <c r="G1251" s="28"/>
    </row>
    <row r="1252">
      <c r="D1252" s="36"/>
      <c r="G1252" s="28"/>
    </row>
    <row r="1253">
      <c r="D1253" s="36"/>
      <c r="G1253" s="28"/>
    </row>
    <row r="1254">
      <c r="D1254" s="36"/>
      <c r="G1254" s="28"/>
    </row>
    <row r="1255">
      <c r="D1255" s="36"/>
      <c r="G1255" s="28"/>
    </row>
    <row r="1256">
      <c r="D1256" s="36"/>
      <c r="G1256" s="28"/>
    </row>
    <row r="1257">
      <c r="D1257" s="36"/>
      <c r="G1257" s="28"/>
    </row>
    <row r="1258">
      <c r="D1258" s="36"/>
      <c r="G1258" s="28"/>
    </row>
    <row r="1259">
      <c r="D1259" s="36"/>
      <c r="G1259" s="28"/>
    </row>
    <row r="1260">
      <c r="D1260" s="36"/>
      <c r="G1260" s="28"/>
    </row>
    <row r="1261">
      <c r="D1261" s="36"/>
      <c r="G1261" s="28"/>
    </row>
    <row r="1262">
      <c r="D1262" s="36"/>
      <c r="G1262" s="28"/>
    </row>
    <row r="1263">
      <c r="D1263" s="36"/>
      <c r="G1263" s="28"/>
    </row>
    <row r="1264">
      <c r="D1264" s="36"/>
      <c r="G1264" s="28"/>
    </row>
    <row r="1265">
      <c r="D1265" s="36"/>
      <c r="G1265" s="28"/>
    </row>
    <row r="1266">
      <c r="D1266" s="36"/>
      <c r="G1266" s="28"/>
    </row>
    <row r="1267">
      <c r="D1267" s="36"/>
      <c r="G1267" s="28"/>
    </row>
    <row r="1268">
      <c r="D1268" s="36"/>
      <c r="G1268" s="28"/>
    </row>
    <row r="1269">
      <c r="D1269" s="36"/>
      <c r="G1269" s="28"/>
    </row>
    <row r="1270">
      <c r="D1270" s="36"/>
      <c r="G1270" s="28"/>
    </row>
    <row r="1271">
      <c r="D1271" s="36"/>
      <c r="G1271" s="28"/>
    </row>
    <row r="1272">
      <c r="D1272" s="36"/>
      <c r="G1272" s="28"/>
    </row>
    <row r="1273">
      <c r="D1273" s="36"/>
      <c r="G1273" s="28"/>
    </row>
    <row r="1274">
      <c r="D1274" s="36"/>
      <c r="G1274" s="28"/>
    </row>
    <row r="1275">
      <c r="D1275" s="36"/>
      <c r="G1275" s="28"/>
    </row>
    <row r="1276">
      <c r="D1276" s="36"/>
      <c r="G1276" s="28"/>
    </row>
    <row r="1277">
      <c r="D1277" s="36"/>
      <c r="G1277" s="28"/>
    </row>
    <row r="1278">
      <c r="D1278" s="36"/>
      <c r="G1278" s="28"/>
    </row>
    <row r="1279">
      <c r="D1279" s="36"/>
      <c r="G1279" s="28"/>
    </row>
    <row r="1280">
      <c r="D1280" s="36"/>
      <c r="G1280" s="28"/>
    </row>
    <row r="1281">
      <c r="D1281" s="36"/>
      <c r="G1281" s="28"/>
    </row>
    <row r="1282">
      <c r="D1282" s="36"/>
      <c r="G1282" s="28"/>
    </row>
    <row r="1283">
      <c r="D1283" s="36"/>
      <c r="G1283" s="28"/>
    </row>
    <row r="1284">
      <c r="D1284" s="36"/>
      <c r="G1284" s="28"/>
    </row>
    <row r="1285">
      <c r="D1285" s="36"/>
      <c r="G1285" s="28"/>
    </row>
    <row r="1286">
      <c r="D1286" s="36"/>
      <c r="G1286" s="28"/>
    </row>
    <row r="1287">
      <c r="D1287" s="36"/>
      <c r="G1287" s="28"/>
    </row>
    <row r="1288">
      <c r="D1288" s="36"/>
      <c r="G1288" s="28"/>
    </row>
    <row r="1289">
      <c r="D1289" s="36"/>
      <c r="G1289" s="28"/>
    </row>
    <row r="1290">
      <c r="D1290" s="36"/>
      <c r="G1290" s="28"/>
    </row>
    <row r="1291">
      <c r="D1291" s="36"/>
      <c r="G1291" s="28"/>
    </row>
    <row r="1292">
      <c r="D1292" s="36"/>
      <c r="G1292" s="28"/>
    </row>
    <row r="1293">
      <c r="D1293" s="36"/>
      <c r="G1293" s="28"/>
    </row>
    <row r="1294">
      <c r="D1294" s="36"/>
      <c r="G1294" s="28"/>
    </row>
    <row r="1295">
      <c r="D1295" s="36"/>
      <c r="G1295" s="28"/>
    </row>
    <row r="1296">
      <c r="D1296" s="36"/>
      <c r="G1296" s="28"/>
    </row>
    <row r="1297">
      <c r="D1297" s="36"/>
      <c r="G1297" s="28"/>
    </row>
    <row r="1298">
      <c r="D1298" s="36"/>
      <c r="G1298" s="28"/>
    </row>
    <row r="1299">
      <c r="D1299" s="36"/>
      <c r="G1299" s="28"/>
    </row>
    <row r="1300">
      <c r="D1300" s="36"/>
      <c r="G1300" s="28"/>
    </row>
    <row r="1301">
      <c r="D1301" s="36"/>
      <c r="G1301" s="28"/>
    </row>
    <row r="1302">
      <c r="D1302" s="36"/>
      <c r="G1302" s="28"/>
    </row>
    <row r="1303">
      <c r="D1303" s="36"/>
      <c r="G1303" s="28"/>
    </row>
    <row r="1304">
      <c r="D1304" s="36"/>
      <c r="G1304" s="28"/>
    </row>
    <row r="1305">
      <c r="D1305" s="36"/>
      <c r="G1305" s="28"/>
    </row>
    <row r="1306">
      <c r="D1306" s="36"/>
      <c r="G1306" s="28"/>
    </row>
    <row r="1307">
      <c r="D1307" s="36"/>
      <c r="G1307" s="28"/>
    </row>
    <row r="1308">
      <c r="D1308" s="36"/>
      <c r="G1308" s="28"/>
    </row>
    <row r="1309">
      <c r="D1309" s="36"/>
      <c r="G1309" s="28"/>
    </row>
    <row r="1310">
      <c r="D1310" s="36"/>
      <c r="G1310" s="28"/>
    </row>
    <row r="1311">
      <c r="D1311" s="36"/>
      <c r="G1311" s="28"/>
    </row>
    <row r="1312">
      <c r="D1312" s="36"/>
      <c r="G1312" s="28"/>
    </row>
    <row r="1313">
      <c r="D1313" s="36"/>
      <c r="G1313" s="28"/>
    </row>
    <row r="1314">
      <c r="D1314" s="36"/>
      <c r="G1314" s="28"/>
    </row>
    <row r="1315">
      <c r="D1315" s="36"/>
      <c r="G1315" s="28"/>
    </row>
    <row r="1316">
      <c r="D1316" s="36"/>
      <c r="G1316" s="28"/>
    </row>
    <row r="1317">
      <c r="D1317" s="36"/>
      <c r="G1317" s="28"/>
    </row>
    <row r="1318">
      <c r="D1318" s="36"/>
      <c r="G1318" s="28"/>
    </row>
    <row r="1319">
      <c r="D1319" s="36"/>
      <c r="G1319" s="28"/>
    </row>
    <row r="1320">
      <c r="D1320" s="36"/>
      <c r="G1320" s="28"/>
    </row>
    <row r="1321">
      <c r="D1321" s="36"/>
      <c r="G1321" s="28"/>
    </row>
    <row r="1322">
      <c r="D1322" s="36"/>
      <c r="G1322" s="28"/>
    </row>
    <row r="1323">
      <c r="D1323" s="36"/>
      <c r="G1323" s="28"/>
    </row>
    <row r="1324">
      <c r="D1324" s="36"/>
      <c r="G1324" s="28"/>
    </row>
    <row r="1325">
      <c r="D1325" s="36"/>
      <c r="G1325" s="28"/>
    </row>
    <row r="1326">
      <c r="D1326" s="36"/>
      <c r="G1326" s="28"/>
    </row>
    <row r="1327">
      <c r="D1327" s="36"/>
      <c r="G1327" s="28"/>
    </row>
    <row r="1328">
      <c r="D1328" s="36"/>
      <c r="G1328" s="28"/>
    </row>
    <row r="1329">
      <c r="D1329" s="36"/>
      <c r="G1329" s="28"/>
    </row>
    <row r="1330">
      <c r="D1330" s="36"/>
      <c r="G1330" s="28"/>
    </row>
    <row r="1331">
      <c r="D1331" s="36"/>
      <c r="G1331" s="28"/>
    </row>
    <row r="1332">
      <c r="D1332" s="36"/>
      <c r="G1332" s="28"/>
    </row>
    <row r="1333">
      <c r="D1333" s="36"/>
      <c r="G1333" s="28"/>
    </row>
    <row r="1334">
      <c r="D1334" s="36"/>
      <c r="G1334" s="28"/>
    </row>
    <row r="1335">
      <c r="D1335" s="36"/>
      <c r="G1335" s="28"/>
    </row>
    <row r="1336">
      <c r="D1336" s="36"/>
      <c r="G1336" s="28"/>
    </row>
    <row r="1337">
      <c r="D1337" s="36"/>
      <c r="G1337" s="28"/>
    </row>
    <row r="1338">
      <c r="D1338" s="36"/>
      <c r="G1338" s="28"/>
    </row>
    <row r="1339">
      <c r="D1339" s="36"/>
      <c r="G1339" s="28"/>
    </row>
    <row r="1340">
      <c r="D1340" s="36"/>
      <c r="G1340" s="28"/>
    </row>
    <row r="1341">
      <c r="D1341" s="36"/>
      <c r="G1341" s="28"/>
    </row>
    <row r="1342">
      <c r="D1342" s="36"/>
      <c r="G1342" s="28"/>
    </row>
    <row r="1343">
      <c r="D1343" s="36"/>
      <c r="G1343" s="28"/>
    </row>
    <row r="1344">
      <c r="D1344" s="36"/>
      <c r="G1344" s="28"/>
    </row>
    <row r="1345">
      <c r="D1345" s="36"/>
      <c r="G1345" s="28"/>
    </row>
    <row r="1346">
      <c r="D1346" s="36"/>
      <c r="G1346" s="28"/>
    </row>
    <row r="1347">
      <c r="D1347" s="36"/>
      <c r="G1347" s="28"/>
    </row>
    <row r="1348">
      <c r="D1348" s="36"/>
      <c r="G1348" s="28"/>
    </row>
    <row r="1349">
      <c r="D1349" s="36"/>
      <c r="G1349" s="28"/>
    </row>
    <row r="1350">
      <c r="D1350" s="36"/>
      <c r="G1350" s="28"/>
    </row>
    <row r="1351">
      <c r="D1351" s="36"/>
      <c r="G1351" s="28"/>
    </row>
    <row r="1352">
      <c r="D1352" s="36"/>
      <c r="G1352" s="28"/>
    </row>
    <row r="1353">
      <c r="D1353" s="36"/>
      <c r="G1353" s="28"/>
    </row>
    <row r="1354">
      <c r="D1354" s="36"/>
      <c r="G1354" s="28"/>
    </row>
    <row r="1355">
      <c r="D1355" s="36"/>
      <c r="G1355" s="28"/>
    </row>
    <row r="1356">
      <c r="D1356" s="36"/>
      <c r="G1356" s="28"/>
    </row>
    <row r="1357">
      <c r="D1357" s="36"/>
      <c r="G1357" s="28"/>
    </row>
    <row r="1358">
      <c r="D1358" s="36"/>
      <c r="G1358" s="28"/>
    </row>
    <row r="1359">
      <c r="D1359" s="36"/>
      <c r="G1359" s="28"/>
    </row>
    <row r="1360">
      <c r="D1360" s="36"/>
      <c r="G1360" s="28"/>
    </row>
    <row r="1361">
      <c r="D1361" s="36"/>
      <c r="G1361" s="28"/>
    </row>
    <row r="1362">
      <c r="D1362" s="36"/>
      <c r="G1362" s="28"/>
    </row>
    <row r="1363">
      <c r="D1363" s="36"/>
      <c r="G1363" s="28"/>
    </row>
    <row r="1364">
      <c r="D1364" s="36"/>
      <c r="G1364" s="28"/>
    </row>
    <row r="1365">
      <c r="D1365" s="36"/>
      <c r="G1365" s="28"/>
    </row>
    <row r="1366">
      <c r="D1366" s="36"/>
      <c r="G1366" s="28"/>
    </row>
    <row r="1367">
      <c r="D1367" s="36"/>
      <c r="G1367" s="28"/>
    </row>
    <row r="1368">
      <c r="D1368" s="36"/>
      <c r="G1368" s="28"/>
    </row>
    <row r="1369">
      <c r="D1369" s="36"/>
      <c r="G1369" s="28"/>
    </row>
    <row r="1370">
      <c r="D1370" s="36"/>
      <c r="G1370" s="28"/>
    </row>
    <row r="1371">
      <c r="D1371" s="36"/>
      <c r="G1371" s="28"/>
    </row>
    <row r="1372">
      <c r="D1372" s="36"/>
      <c r="G1372" s="28"/>
    </row>
    <row r="1373">
      <c r="D1373" s="36"/>
      <c r="G1373" s="28"/>
    </row>
    <row r="1374">
      <c r="D1374" s="36"/>
      <c r="G1374" s="28"/>
    </row>
    <row r="1375">
      <c r="D1375" s="36"/>
      <c r="G1375" s="28"/>
    </row>
    <row r="1376">
      <c r="D1376" s="36"/>
      <c r="G1376" s="28"/>
    </row>
    <row r="1377">
      <c r="D1377" s="36"/>
      <c r="G1377" s="28"/>
    </row>
    <row r="1378">
      <c r="D1378" s="36"/>
      <c r="G1378" s="28"/>
    </row>
    <row r="1379">
      <c r="D1379" s="36"/>
      <c r="G1379" s="28"/>
    </row>
    <row r="1380">
      <c r="D1380" s="36"/>
      <c r="G1380" s="28"/>
    </row>
    <row r="1381">
      <c r="D1381" s="36"/>
      <c r="G1381" s="28"/>
    </row>
    <row r="1382">
      <c r="D1382" s="36"/>
      <c r="G1382" s="28"/>
    </row>
    <row r="1383">
      <c r="D1383" s="36"/>
      <c r="G1383" s="28"/>
    </row>
    <row r="1384">
      <c r="D1384" s="36"/>
      <c r="G1384" s="28"/>
    </row>
    <row r="1385">
      <c r="D1385" s="36"/>
      <c r="G1385" s="28"/>
    </row>
    <row r="1386">
      <c r="D1386" s="36"/>
      <c r="G1386" s="28"/>
    </row>
    <row r="1387">
      <c r="D1387" s="36"/>
      <c r="G1387" s="28"/>
    </row>
    <row r="1388">
      <c r="D1388" s="36"/>
      <c r="G1388" s="28"/>
    </row>
    <row r="1389">
      <c r="D1389" s="36"/>
      <c r="G1389" s="28"/>
    </row>
    <row r="1390">
      <c r="D1390" s="36"/>
      <c r="G1390" s="28"/>
    </row>
    <row r="1391">
      <c r="D1391" s="36"/>
      <c r="G1391" s="28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0.13"/>
    <col customWidth="1" min="3" max="3" width="12.63"/>
    <col customWidth="1" min="4" max="4" width="12.13"/>
  </cols>
  <sheetData>
    <row r="1">
      <c r="A1" s="32" t="s">
        <v>2690</v>
      </c>
      <c r="E1" s="23"/>
    </row>
    <row r="2">
      <c r="A2" s="15" t="s">
        <v>2631</v>
      </c>
      <c r="B2" s="15" t="s">
        <v>2632</v>
      </c>
      <c r="C2" s="15" t="s">
        <v>2691</v>
      </c>
      <c r="D2" s="15" t="s">
        <v>2690</v>
      </c>
      <c r="E2" s="23"/>
    </row>
    <row r="3">
      <c r="A3" s="37">
        <v>45658.0</v>
      </c>
      <c r="B3" s="15" t="s">
        <v>2692</v>
      </c>
      <c r="C3" s="33">
        <v>1700000.0</v>
      </c>
      <c r="E3" s="23"/>
    </row>
    <row r="4">
      <c r="A4" s="37">
        <v>45689.0</v>
      </c>
      <c r="B4" s="15" t="s">
        <v>193</v>
      </c>
      <c r="C4" s="33">
        <v>1250000.0</v>
      </c>
      <c r="E4" s="23"/>
    </row>
    <row r="5">
      <c r="A5" s="37">
        <v>45690.0</v>
      </c>
      <c r="B5" s="15" t="s">
        <v>2693</v>
      </c>
      <c r="D5" s="33">
        <v>110000.0</v>
      </c>
      <c r="E5" s="23"/>
      <c r="F5" s="33"/>
    </row>
    <row r="6">
      <c r="B6" s="15" t="s">
        <v>2694</v>
      </c>
      <c r="D6" s="33">
        <v>110000.0</v>
      </c>
      <c r="E6" s="23"/>
      <c r="F6" s="33"/>
    </row>
    <row r="7">
      <c r="A7" s="37">
        <v>45690.0</v>
      </c>
      <c r="B7" s="15" t="s">
        <v>2695</v>
      </c>
      <c r="D7" s="33">
        <v>95000.0</v>
      </c>
      <c r="E7" s="23"/>
      <c r="F7" s="33"/>
    </row>
    <row r="8">
      <c r="A8" s="37"/>
      <c r="B8" s="15" t="s">
        <v>2696</v>
      </c>
      <c r="D8" s="33">
        <v>153000.0</v>
      </c>
      <c r="E8" s="23"/>
      <c r="F8" s="33"/>
    </row>
    <row r="9">
      <c r="A9" s="37"/>
      <c r="B9" s="15" t="s">
        <v>2697</v>
      </c>
      <c r="D9" s="33">
        <v>100000.0</v>
      </c>
      <c r="E9" s="23"/>
      <c r="F9" s="33"/>
    </row>
    <row r="10">
      <c r="A10" s="37">
        <v>45709.0</v>
      </c>
      <c r="B10" s="15" t="s">
        <v>2698</v>
      </c>
      <c r="D10" s="33">
        <v>152500.0</v>
      </c>
      <c r="E10" s="23"/>
      <c r="F10" s="33"/>
    </row>
    <row r="11">
      <c r="A11" s="37">
        <v>45714.0</v>
      </c>
      <c r="B11" s="15" t="s">
        <v>2699</v>
      </c>
      <c r="D11" s="33">
        <v>26100.0</v>
      </c>
      <c r="E11" s="23"/>
      <c r="F11" s="33"/>
    </row>
    <row r="12">
      <c r="A12" s="37">
        <v>45719.0</v>
      </c>
      <c r="B12" s="15" t="s">
        <v>2696</v>
      </c>
      <c r="D12" s="33">
        <v>57500.0</v>
      </c>
      <c r="E12" s="23"/>
      <c r="F12" s="33"/>
    </row>
    <row r="13">
      <c r="A13" s="37">
        <v>45730.0</v>
      </c>
      <c r="B13" s="15" t="s">
        <v>2699</v>
      </c>
      <c r="D13" s="33">
        <v>55500.0</v>
      </c>
      <c r="E13" s="23"/>
      <c r="F13" s="33"/>
    </row>
    <row r="14">
      <c r="A14" s="37">
        <v>45732.0</v>
      </c>
      <c r="B14" s="15" t="s">
        <v>2700</v>
      </c>
      <c r="D14" s="33">
        <v>10000.0</v>
      </c>
      <c r="E14" s="23"/>
      <c r="F14" s="33"/>
    </row>
    <row r="15">
      <c r="A15" s="37">
        <v>45756.0</v>
      </c>
      <c r="B15" s="15" t="s">
        <v>2701</v>
      </c>
      <c r="D15" s="33">
        <v>76000.0</v>
      </c>
      <c r="E15" s="23"/>
      <c r="F15" s="33"/>
    </row>
    <row r="16">
      <c r="A16" s="37">
        <v>45761.0</v>
      </c>
      <c r="B16" s="15" t="s">
        <v>2699</v>
      </c>
      <c r="D16" s="33">
        <v>55500.0</v>
      </c>
      <c r="E16" s="23"/>
      <c r="F16" s="33"/>
    </row>
    <row r="17">
      <c r="A17" s="37">
        <v>45764.0</v>
      </c>
      <c r="B17" s="15" t="s">
        <v>883</v>
      </c>
      <c r="C17" s="33">
        <v>450000.0</v>
      </c>
      <c r="E17" s="23"/>
    </row>
    <row r="18">
      <c r="A18" s="37">
        <v>45765.0</v>
      </c>
      <c r="B18" s="15" t="s">
        <v>2696</v>
      </c>
      <c r="D18" s="33">
        <v>426350.0</v>
      </c>
      <c r="E18" s="23"/>
    </row>
    <row r="19">
      <c r="A19" s="37"/>
      <c r="B19" s="15" t="s">
        <v>2702</v>
      </c>
      <c r="C19" s="33">
        <v>1100000.0</v>
      </c>
      <c r="E19" s="23"/>
    </row>
    <row r="20">
      <c r="A20" s="37">
        <v>45772.0</v>
      </c>
      <c r="B20" s="15" t="s">
        <v>2696</v>
      </c>
      <c r="C20" s="33">
        <v>134000.0</v>
      </c>
      <c r="E20" s="23"/>
    </row>
    <row r="21">
      <c r="A21" s="37"/>
      <c r="B21" s="15" t="s">
        <v>2674</v>
      </c>
      <c r="C21" s="33">
        <v>850000.0</v>
      </c>
      <c r="E21" s="23"/>
    </row>
    <row r="22">
      <c r="A22" s="37"/>
      <c r="B22" s="15" t="s">
        <v>831</v>
      </c>
      <c r="C22" s="33">
        <v>750000.0</v>
      </c>
      <c r="E22" s="23"/>
    </row>
    <row r="23">
      <c r="A23" s="37"/>
      <c r="B23" s="15" t="s">
        <v>304</v>
      </c>
      <c r="C23" s="33">
        <v>650000.0</v>
      </c>
      <c r="E23" s="23"/>
    </row>
    <row r="24">
      <c r="A24" s="37">
        <v>45780.0</v>
      </c>
      <c r="B24" s="15" t="s">
        <v>2703</v>
      </c>
      <c r="D24" s="33">
        <v>23500.0</v>
      </c>
      <c r="E24" s="23"/>
    </row>
    <row r="25">
      <c r="A25" s="37">
        <v>45782.0</v>
      </c>
      <c r="B25" s="15" t="s">
        <v>2704</v>
      </c>
      <c r="D25" s="33">
        <v>57000.0</v>
      </c>
      <c r="E25" s="23"/>
    </row>
    <row r="26">
      <c r="A26" s="37">
        <v>45783.0</v>
      </c>
      <c r="B26" s="15" t="s">
        <v>2699</v>
      </c>
      <c r="D26" s="33">
        <v>27750.0</v>
      </c>
      <c r="E26" s="23"/>
    </row>
    <row r="27">
      <c r="A27" s="37">
        <v>45786.0</v>
      </c>
      <c r="B27" s="15" t="s">
        <v>2699</v>
      </c>
      <c r="D27" s="33">
        <v>27750.0</v>
      </c>
      <c r="E27" s="23"/>
    </row>
    <row r="28">
      <c r="A28" s="37">
        <v>45786.0</v>
      </c>
      <c r="B28" s="15" t="s">
        <v>2705</v>
      </c>
      <c r="D28" s="33">
        <v>50000.0</v>
      </c>
      <c r="E28" s="23"/>
    </row>
    <row r="29">
      <c r="A29" s="37">
        <v>45794.0</v>
      </c>
      <c r="B29" s="15" t="s">
        <v>2699</v>
      </c>
      <c r="D29" s="33">
        <v>55500.0</v>
      </c>
      <c r="E29" s="23"/>
    </row>
    <row r="30">
      <c r="A30" s="37">
        <v>45799.0</v>
      </c>
      <c r="B30" s="15" t="s">
        <v>2696</v>
      </c>
      <c r="D30" s="33">
        <v>260000.0</v>
      </c>
      <c r="E30" s="23"/>
    </row>
    <row r="31">
      <c r="A31" s="37">
        <v>45805.0</v>
      </c>
      <c r="B31" s="15" t="s">
        <v>2706</v>
      </c>
      <c r="D31" s="33">
        <v>86000.0</v>
      </c>
      <c r="E31" s="23"/>
    </row>
    <row r="32">
      <c r="A32" s="37">
        <v>45819.0</v>
      </c>
      <c r="B32" s="15" t="s">
        <v>1307</v>
      </c>
      <c r="C32" s="33">
        <v>1500000.0</v>
      </c>
      <c r="E32" s="23"/>
    </row>
    <row r="33">
      <c r="A33" s="37">
        <v>45819.0</v>
      </c>
      <c r="B33" s="15" t="s">
        <v>2707</v>
      </c>
      <c r="D33" s="33">
        <v>300000.0</v>
      </c>
      <c r="E33" s="23"/>
    </row>
    <row r="34">
      <c r="A34" s="37">
        <v>45821.0</v>
      </c>
      <c r="B34" s="15" t="s">
        <v>2699</v>
      </c>
      <c r="D34" s="33">
        <v>27750.0</v>
      </c>
      <c r="E34" s="23"/>
    </row>
    <row r="35">
      <c r="A35" s="37">
        <v>45825.0</v>
      </c>
      <c r="B35" s="15" t="s">
        <v>2696</v>
      </c>
      <c r="D35" s="33">
        <v>53000.0</v>
      </c>
      <c r="E35" s="23"/>
    </row>
    <row r="36">
      <c r="A36" s="37">
        <v>45827.0</v>
      </c>
      <c r="B36" s="15" t="s">
        <v>2708</v>
      </c>
      <c r="D36" s="33">
        <v>200000.0</v>
      </c>
      <c r="E36" s="23"/>
    </row>
    <row r="37">
      <c r="A37" s="37">
        <v>45839.0</v>
      </c>
      <c r="B37" s="15" t="s">
        <v>304</v>
      </c>
      <c r="C37" s="33">
        <v>940000.0</v>
      </c>
      <c r="E37" s="23"/>
    </row>
    <row r="38">
      <c r="A38" s="37">
        <v>45839.0</v>
      </c>
      <c r="B38" s="15" t="s">
        <v>831</v>
      </c>
      <c r="C38" s="33">
        <v>550000.0</v>
      </c>
      <c r="E38" s="23"/>
    </row>
    <row r="39">
      <c r="A39" s="37">
        <v>45842.0</v>
      </c>
      <c r="B39" s="15" t="s">
        <v>104</v>
      </c>
      <c r="C39" s="33">
        <v>1400000.0</v>
      </c>
      <c r="E39" s="23"/>
    </row>
    <row r="40">
      <c r="A40" s="37">
        <v>45851.0</v>
      </c>
      <c r="B40" s="15" t="s">
        <v>104</v>
      </c>
      <c r="C40" s="33">
        <v>1200000.0</v>
      </c>
      <c r="E40" s="23"/>
    </row>
    <row r="41">
      <c r="A41" s="37">
        <v>45856.0</v>
      </c>
      <c r="B41" s="15" t="s">
        <v>2699</v>
      </c>
      <c r="D41" s="33">
        <v>55500.0</v>
      </c>
      <c r="E41" s="23"/>
    </row>
    <row r="42">
      <c r="B42" s="15" t="s">
        <v>2696</v>
      </c>
      <c r="D42" s="33">
        <v>235300.0</v>
      </c>
      <c r="E42" s="23"/>
    </row>
    <row r="43">
      <c r="A43" s="37">
        <v>45842.0</v>
      </c>
      <c r="B43" s="15" t="s">
        <v>2699</v>
      </c>
      <c r="D43" s="33">
        <v>55500.0</v>
      </c>
      <c r="E43" s="23"/>
    </row>
    <row r="44">
      <c r="A44" s="37">
        <v>45896.0</v>
      </c>
      <c r="B44" s="15" t="s">
        <v>2699</v>
      </c>
      <c r="D44" s="33">
        <v>55000.0</v>
      </c>
      <c r="E44" s="23"/>
    </row>
    <row r="45">
      <c r="A45" s="37">
        <v>45901.0</v>
      </c>
      <c r="B45" s="15" t="s">
        <v>2699</v>
      </c>
      <c r="D45" s="33">
        <v>27750.0</v>
      </c>
      <c r="E45" s="23"/>
    </row>
    <row r="46">
      <c r="A46" s="37">
        <v>45901.0</v>
      </c>
      <c r="B46" s="15" t="s">
        <v>2696</v>
      </c>
      <c r="D46" s="33">
        <v>474000.0</v>
      </c>
      <c r="E46" s="23"/>
    </row>
    <row r="47">
      <c r="A47" s="37">
        <v>45913.0</v>
      </c>
      <c r="B47" s="15" t="s">
        <v>2709</v>
      </c>
      <c r="C47" s="33">
        <v>2750000.0</v>
      </c>
      <c r="E47" s="23"/>
    </row>
    <row r="48">
      <c r="A48" s="37">
        <v>45913.0</v>
      </c>
      <c r="B48" s="15" t="s">
        <v>1110</v>
      </c>
      <c r="C48" s="33">
        <v>3060000.0</v>
      </c>
      <c r="E48" s="23"/>
    </row>
    <row r="49">
      <c r="A49" s="37">
        <v>45920.0</v>
      </c>
      <c r="B49" s="15" t="s">
        <v>2710</v>
      </c>
      <c r="D49" s="33">
        <v>8500.0</v>
      </c>
      <c r="E49" s="23"/>
    </row>
    <row r="50">
      <c r="A50" s="37">
        <v>45921.0</v>
      </c>
      <c r="B50" s="15" t="s">
        <v>2700</v>
      </c>
      <c r="D50" s="33">
        <v>10000.0</v>
      </c>
      <c r="E50" s="23"/>
    </row>
    <row r="51">
      <c r="A51" s="37">
        <v>45937.0</v>
      </c>
      <c r="B51" s="15" t="s">
        <v>2711</v>
      </c>
      <c r="D51" s="33">
        <v>73500.0</v>
      </c>
      <c r="E51" s="23"/>
    </row>
    <row r="52">
      <c r="A52" s="37">
        <v>45937.0</v>
      </c>
      <c r="B52" s="15" t="s">
        <v>2712</v>
      </c>
      <c r="D52" s="33">
        <v>17500.0</v>
      </c>
      <c r="E52" s="23"/>
    </row>
    <row r="53">
      <c r="A53" s="35">
        <v>45940.0</v>
      </c>
      <c r="B53" s="15" t="s">
        <v>2713</v>
      </c>
      <c r="D53" s="33">
        <v>620000.0</v>
      </c>
      <c r="E53" s="23"/>
    </row>
    <row r="54">
      <c r="A54" s="35">
        <v>45945.0</v>
      </c>
      <c r="B54" s="15" t="s">
        <v>2714</v>
      </c>
      <c r="C54" s="33">
        <v>562000.0</v>
      </c>
      <c r="E54" s="23"/>
    </row>
    <row r="55">
      <c r="A55" s="35">
        <v>45947.0</v>
      </c>
      <c r="B55" s="15" t="s">
        <v>2699</v>
      </c>
      <c r="D55" s="33">
        <v>27750.0</v>
      </c>
      <c r="E55" s="23"/>
    </row>
    <row r="56">
      <c r="A56" s="35">
        <v>45948.0</v>
      </c>
      <c r="B56" s="15" t="s">
        <v>2715</v>
      </c>
      <c r="D56" s="33">
        <v>35000.0</v>
      </c>
      <c r="E56" s="23"/>
    </row>
    <row r="57">
      <c r="A57" s="35">
        <v>45952.0</v>
      </c>
      <c r="B57" s="15" t="s">
        <v>2716</v>
      </c>
      <c r="D57" s="33">
        <v>50000.0</v>
      </c>
      <c r="E57" s="23"/>
    </row>
    <row r="58">
      <c r="A58" s="35">
        <v>45955.0</v>
      </c>
      <c r="B58" s="15" t="s">
        <v>2717</v>
      </c>
      <c r="D58" s="33">
        <v>22000.0</v>
      </c>
      <c r="E58" s="23"/>
    </row>
    <row r="59">
      <c r="A59" s="35">
        <v>45966.0</v>
      </c>
      <c r="B59" s="15" t="s">
        <v>2590</v>
      </c>
      <c r="C59" s="33">
        <v>2700000.0</v>
      </c>
      <c r="D59" s="36"/>
      <c r="E59" s="23"/>
    </row>
    <row r="60">
      <c r="A60" s="35">
        <v>45966.0</v>
      </c>
      <c r="B60" s="15" t="s">
        <v>2684</v>
      </c>
      <c r="C60" s="33">
        <v>1300000.0</v>
      </c>
      <c r="D60" s="36"/>
      <c r="E60" s="23"/>
    </row>
    <row r="61">
      <c r="A61" s="35">
        <v>45967.0</v>
      </c>
      <c r="B61" s="15" t="s">
        <v>2718</v>
      </c>
      <c r="C61" s="36"/>
      <c r="D61" s="33">
        <v>50000.0</v>
      </c>
      <c r="E61" s="23"/>
    </row>
    <row r="62">
      <c r="A62" s="35">
        <v>45969.0</v>
      </c>
      <c r="B62" s="15" t="s">
        <v>2719</v>
      </c>
      <c r="C62" s="36"/>
      <c r="D62" s="33">
        <v>1883000.0</v>
      </c>
      <c r="E62" s="23"/>
    </row>
    <row r="63">
      <c r="A63" s="35">
        <v>45972.0</v>
      </c>
      <c r="B63" s="15" t="s">
        <v>2720</v>
      </c>
      <c r="C63" s="36"/>
      <c r="D63" s="33">
        <v>325000.0</v>
      </c>
      <c r="E63" s="23"/>
    </row>
    <row r="64">
      <c r="A64" s="35">
        <v>45979.0</v>
      </c>
      <c r="B64" s="15" t="s">
        <v>2721</v>
      </c>
      <c r="C64" s="36"/>
      <c r="D64" s="33">
        <v>23000.0</v>
      </c>
      <c r="E64" s="23"/>
    </row>
    <row r="65">
      <c r="A65" s="35">
        <v>45980.0</v>
      </c>
      <c r="B65" s="15" t="s">
        <v>2722</v>
      </c>
      <c r="C65" s="36"/>
      <c r="D65" s="33">
        <v>300000.0</v>
      </c>
      <c r="E65" s="23"/>
    </row>
    <row r="66">
      <c r="A66" s="35">
        <v>45980.0</v>
      </c>
      <c r="B66" s="15" t="s">
        <v>2723</v>
      </c>
      <c r="C66" s="36"/>
      <c r="D66" s="33">
        <v>125000.0</v>
      </c>
      <c r="E66" s="23"/>
    </row>
    <row r="67">
      <c r="A67" s="35">
        <v>45981.0</v>
      </c>
      <c r="B67" s="15" t="s">
        <v>2724</v>
      </c>
      <c r="C67" s="36"/>
      <c r="D67" s="33">
        <v>32000.0</v>
      </c>
      <c r="E67" s="23"/>
    </row>
    <row r="68">
      <c r="A68" s="35">
        <v>45986.0</v>
      </c>
      <c r="B68" s="15" t="s">
        <v>2725</v>
      </c>
      <c r="C68" s="36"/>
      <c r="D68" s="33">
        <v>70000.0</v>
      </c>
      <c r="E68" s="23"/>
    </row>
    <row r="69">
      <c r="A69" s="35">
        <v>45986.0</v>
      </c>
      <c r="B69" s="15" t="s">
        <v>2726</v>
      </c>
      <c r="C69" s="36"/>
      <c r="D69" s="33">
        <v>298000.0</v>
      </c>
      <c r="E69" s="23"/>
    </row>
    <row r="70">
      <c r="A70" s="35">
        <v>46007.0</v>
      </c>
      <c r="B70" s="15" t="s">
        <v>2727</v>
      </c>
      <c r="C70" s="36"/>
      <c r="D70" s="33">
        <v>212000.0</v>
      </c>
      <c r="E70" s="23"/>
    </row>
    <row r="71">
      <c r="A71" s="35">
        <v>46013.0</v>
      </c>
      <c r="B71" s="15" t="s">
        <v>2728</v>
      </c>
      <c r="C71" s="36"/>
      <c r="D71" s="33">
        <v>19000.0</v>
      </c>
      <c r="E71" s="23"/>
    </row>
    <row r="72">
      <c r="A72" s="35">
        <v>46013.0</v>
      </c>
      <c r="B72" s="15" t="s">
        <v>2729</v>
      </c>
      <c r="C72" s="36"/>
      <c r="D72" s="33">
        <v>20000.0</v>
      </c>
      <c r="E72" s="23"/>
    </row>
    <row r="73">
      <c r="A73" s="35">
        <v>46013.0</v>
      </c>
      <c r="B73" s="15" t="s">
        <v>2730</v>
      </c>
      <c r="C73" s="36"/>
      <c r="D73" s="33">
        <v>9000.0</v>
      </c>
      <c r="E73" s="23"/>
    </row>
    <row r="74">
      <c r="A74" s="37">
        <v>46023.0</v>
      </c>
      <c r="B74" s="15" t="s">
        <v>2731</v>
      </c>
      <c r="C74" s="36"/>
      <c r="D74" s="33">
        <v>31000.0</v>
      </c>
      <c r="E74" s="23"/>
    </row>
    <row r="75">
      <c r="A75" s="37">
        <v>46029.0</v>
      </c>
      <c r="B75" s="15" t="s">
        <v>2732</v>
      </c>
      <c r="C75" s="36"/>
      <c r="D75" s="33">
        <v>66500.0</v>
      </c>
      <c r="E75" s="23"/>
    </row>
    <row r="76">
      <c r="A76" s="37">
        <v>46035.0</v>
      </c>
      <c r="B76" s="15" t="s">
        <v>2733</v>
      </c>
      <c r="C76" s="36"/>
      <c r="D76" s="36"/>
      <c r="E76" s="22">
        <v>500000.0</v>
      </c>
    </row>
    <row r="77">
      <c r="A77" s="37">
        <v>46036.0</v>
      </c>
      <c r="B77" s="15" t="s">
        <v>2699</v>
      </c>
      <c r="C77" s="36"/>
      <c r="D77" s="33">
        <v>83250.0</v>
      </c>
      <c r="E77" s="23"/>
    </row>
    <row r="78">
      <c r="A78" s="37">
        <v>46037.0</v>
      </c>
      <c r="B78" s="15" t="s">
        <v>2711</v>
      </c>
      <c r="C78" s="36"/>
      <c r="D78" s="33">
        <v>113000.0</v>
      </c>
      <c r="E78" s="23"/>
    </row>
    <row r="79">
      <c r="A79" s="37">
        <v>46038.0</v>
      </c>
      <c r="B79" s="15" t="s">
        <v>2734</v>
      </c>
      <c r="C79" s="36"/>
      <c r="D79" s="36"/>
      <c r="E79" s="22">
        <v>680000.0</v>
      </c>
    </row>
    <row r="80">
      <c r="A80" s="37">
        <v>46039.0</v>
      </c>
      <c r="B80" s="15" t="s">
        <v>64</v>
      </c>
      <c r="C80" s="33">
        <v>1650000.0</v>
      </c>
      <c r="D80" s="36"/>
      <c r="E80" s="23"/>
    </row>
    <row r="81">
      <c r="A81" s="37">
        <v>46040.0</v>
      </c>
      <c r="B81" s="15" t="s">
        <v>2735</v>
      </c>
      <c r="C81" s="36"/>
      <c r="D81" s="33">
        <v>352500.0</v>
      </c>
      <c r="E81" s="23"/>
    </row>
    <row r="82">
      <c r="A82" s="37">
        <v>46042.0</v>
      </c>
      <c r="B82" s="15" t="s">
        <v>2736</v>
      </c>
      <c r="C82" s="36"/>
      <c r="D82" s="33">
        <v>20000.0</v>
      </c>
      <c r="E82" s="23"/>
    </row>
    <row r="83">
      <c r="A83" s="37">
        <v>46042.0</v>
      </c>
      <c r="B83" s="15" t="s">
        <v>2737</v>
      </c>
      <c r="C83" s="36"/>
      <c r="D83" s="33">
        <v>25000.0</v>
      </c>
      <c r="E83" s="23"/>
    </row>
    <row r="84">
      <c r="A84" s="37">
        <v>46046.0</v>
      </c>
      <c r="B84" s="15" t="s">
        <v>2738</v>
      </c>
      <c r="C84" s="36"/>
      <c r="D84" s="33">
        <v>295000.0</v>
      </c>
      <c r="E84" s="23"/>
    </row>
    <row r="85">
      <c r="A85" s="37">
        <v>46046.0</v>
      </c>
      <c r="B85" s="15" t="s">
        <v>2712</v>
      </c>
      <c r="C85" s="36"/>
      <c r="D85" s="33">
        <v>16500.0</v>
      </c>
      <c r="E85" s="23"/>
    </row>
    <row r="86">
      <c r="A86" s="37">
        <v>46055.0</v>
      </c>
      <c r="B86" s="15" t="s">
        <v>1003</v>
      </c>
      <c r="C86" s="33">
        <v>3500000.0</v>
      </c>
      <c r="D86" s="36"/>
      <c r="E86" s="23"/>
    </row>
    <row r="87">
      <c r="A87" s="37">
        <v>46055.0</v>
      </c>
      <c r="B87" s="15" t="s">
        <v>2739</v>
      </c>
      <c r="C87" s="36"/>
      <c r="D87" s="33">
        <v>177000.0</v>
      </c>
      <c r="E87" s="23"/>
    </row>
    <row r="88">
      <c r="A88" s="37">
        <v>46062.0</v>
      </c>
      <c r="B88" s="15" t="s">
        <v>2734</v>
      </c>
      <c r="C88" s="36"/>
      <c r="D88" s="36"/>
      <c r="E88" s="22">
        <v>1592500.0</v>
      </c>
    </row>
    <row r="89">
      <c r="A89" s="37">
        <v>46063.0</v>
      </c>
      <c r="B89" s="15" t="s">
        <v>2740</v>
      </c>
      <c r="C89" s="36"/>
      <c r="D89" s="33">
        <v>100000.0</v>
      </c>
      <c r="E89" s="23"/>
    </row>
    <row r="90">
      <c r="A90" s="37">
        <v>46068.0</v>
      </c>
      <c r="B90" s="15" t="s">
        <v>2741</v>
      </c>
      <c r="C90" s="36"/>
      <c r="D90" s="33">
        <v>250000.0</v>
      </c>
      <c r="E90" s="23"/>
    </row>
    <row r="91">
      <c r="A91" s="37">
        <v>46072.0</v>
      </c>
      <c r="B91" s="15" t="s">
        <v>2742</v>
      </c>
      <c r="C91" s="36"/>
      <c r="D91" s="33">
        <v>51600.0</v>
      </c>
      <c r="E91" s="23"/>
    </row>
    <row r="92">
      <c r="A92" s="37">
        <v>46074.0</v>
      </c>
      <c r="B92" s="15" t="s">
        <v>2743</v>
      </c>
      <c r="C92" s="36"/>
      <c r="D92" s="33">
        <v>55500.0</v>
      </c>
      <c r="E92" s="23"/>
    </row>
    <row r="93">
      <c r="A93" s="37">
        <v>46074.0</v>
      </c>
      <c r="B93" s="15" t="s">
        <v>2744</v>
      </c>
      <c r="C93" s="36"/>
      <c r="D93" s="33">
        <v>25000.0</v>
      </c>
      <c r="E93" s="23"/>
    </row>
    <row r="94">
      <c r="A94" s="37">
        <v>46079.0</v>
      </c>
      <c r="B94" s="15" t="s">
        <v>2745</v>
      </c>
      <c r="C94" s="36"/>
      <c r="D94" s="33">
        <v>26500.0</v>
      </c>
      <c r="E94" s="23"/>
    </row>
    <row r="95">
      <c r="A95" s="37">
        <v>46080.0</v>
      </c>
      <c r="B95" s="15" t="s">
        <v>2746</v>
      </c>
      <c r="C95" s="36"/>
      <c r="D95" s="33">
        <v>84000.0</v>
      </c>
      <c r="E95" s="23"/>
    </row>
    <row r="96">
      <c r="A96" s="37">
        <v>46080.0</v>
      </c>
      <c r="B96" s="15" t="s">
        <v>2747</v>
      </c>
      <c r="C96" s="33">
        <v>643000.0</v>
      </c>
      <c r="E96" s="23"/>
    </row>
    <row r="97">
      <c r="A97" s="37">
        <v>46084.0</v>
      </c>
      <c r="B97" s="15" t="s">
        <v>2748</v>
      </c>
      <c r="C97" s="33">
        <v>2420000.0</v>
      </c>
      <c r="D97" s="36"/>
      <c r="E97" s="23"/>
    </row>
    <row r="98">
      <c r="A98" s="37">
        <v>46084.0</v>
      </c>
      <c r="B98" s="15" t="s">
        <v>2726</v>
      </c>
      <c r="C98" s="36"/>
      <c r="D98" s="33">
        <v>29000.0</v>
      </c>
      <c r="E98" s="23"/>
    </row>
    <row r="99">
      <c r="A99" s="37">
        <v>46088.0</v>
      </c>
      <c r="B99" s="15" t="s">
        <v>2749</v>
      </c>
      <c r="C99" s="33">
        <v>3010000.0</v>
      </c>
      <c r="D99" s="36"/>
      <c r="E99" s="23"/>
    </row>
    <row r="100">
      <c r="A100" s="37">
        <v>46088.0</v>
      </c>
      <c r="B100" s="15" t="s">
        <v>2625</v>
      </c>
      <c r="C100" s="33">
        <v>2610000.0</v>
      </c>
      <c r="D100" s="36"/>
      <c r="E100" s="23"/>
    </row>
    <row r="101">
      <c r="A101" s="37">
        <v>46094.0</v>
      </c>
      <c r="B101" s="15" t="s">
        <v>2750</v>
      </c>
      <c r="C101" s="36"/>
      <c r="D101" s="36"/>
      <c r="E101" s="22">
        <v>75000.0</v>
      </c>
    </row>
    <row r="102">
      <c r="A102" s="37">
        <v>46095.0</v>
      </c>
      <c r="B102" s="15" t="s">
        <v>2751</v>
      </c>
      <c r="C102" s="36"/>
      <c r="D102" s="33">
        <v>100000.0</v>
      </c>
      <c r="E102" s="23"/>
    </row>
    <row r="103">
      <c r="A103" s="37">
        <v>46101.0</v>
      </c>
      <c r="B103" s="15" t="s">
        <v>2734</v>
      </c>
      <c r="C103" s="36"/>
      <c r="D103" s="36"/>
      <c r="E103" s="22">
        <v>693000.0</v>
      </c>
    </row>
    <row r="104">
      <c r="A104" s="37">
        <v>46104.0</v>
      </c>
      <c r="B104" s="15" t="s">
        <v>2752</v>
      </c>
      <c r="C104" s="33">
        <v>625000.0</v>
      </c>
      <c r="D104" s="36"/>
      <c r="E104" s="23"/>
    </row>
    <row r="105">
      <c r="A105" s="37">
        <v>46106.0</v>
      </c>
      <c r="B105" s="15" t="s">
        <v>2753</v>
      </c>
      <c r="C105" s="33">
        <v>1970000.0</v>
      </c>
      <c r="D105" s="36"/>
      <c r="E105" s="23"/>
    </row>
    <row r="106">
      <c r="A106" s="37">
        <v>46107.0</v>
      </c>
      <c r="B106" s="15" t="s">
        <v>2664</v>
      </c>
      <c r="C106" s="33">
        <v>955000.0</v>
      </c>
      <c r="D106" s="36"/>
      <c r="E106" s="23"/>
    </row>
    <row r="107">
      <c r="A107" s="37">
        <v>46108.0</v>
      </c>
      <c r="B107" s="15" t="s">
        <v>2625</v>
      </c>
      <c r="C107" s="33">
        <v>2650000.0</v>
      </c>
      <c r="D107" s="36"/>
      <c r="E107" s="23"/>
    </row>
    <row r="108">
      <c r="A108" s="37">
        <v>46110.0</v>
      </c>
      <c r="B108" s="15" t="s">
        <v>2751</v>
      </c>
      <c r="C108" s="36"/>
      <c r="D108" s="33">
        <v>100000.0</v>
      </c>
      <c r="E108" s="23"/>
    </row>
    <row r="109">
      <c r="A109" s="37">
        <v>46111.0</v>
      </c>
      <c r="B109" s="15" t="s">
        <v>2699</v>
      </c>
      <c r="C109" s="36"/>
      <c r="D109" s="33">
        <v>111000.0</v>
      </c>
      <c r="E109" s="23"/>
    </row>
    <row r="110">
      <c r="A110" s="37">
        <v>46112.0</v>
      </c>
      <c r="B110" s="15" t="s">
        <v>2754</v>
      </c>
      <c r="C110" s="36"/>
      <c r="D110" s="33">
        <v>110000.0</v>
      </c>
      <c r="E110" s="23"/>
    </row>
    <row r="111">
      <c r="A111" s="37">
        <v>46114.0</v>
      </c>
      <c r="B111" s="15" t="s">
        <v>2755</v>
      </c>
      <c r="C111" s="36"/>
      <c r="D111" s="33">
        <v>150500.0</v>
      </c>
      <c r="E111" s="23"/>
    </row>
    <row r="112">
      <c r="A112" s="37">
        <v>46114.0</v>
      </c>
      <c r="B112" s="15" t="s">
        <v>2734</v>
      </c>
      <c r="C112" s="36"/>
      <c r="D112" s="36"/>
      <c r="E112" s="22">
        <v>350000.0</v>
      </c>
    </row>
    <row r="113">
      <c r="A113" s="37">
        <v>46118.0</v>
      </c>
      <c r="B113" s="15" t="s">
        <v>2756</v>
      </c>
      <c r="C113" s="36"/>
      <c r="D113" s="33">
        <v>859000.0</v>
      </c>
      <c r="E113" s="23"/>
    </row>
    <row r="114">
      <c r="A114" s="37">
        <v>46119.0</v>
      </c>
      <c r="B114" s="15" t="s">
        <v>2757</v>
      </c>
      <c r="C114" s="36"/>
      <c r="D114" s="33">
        <v>16000.0</v>
      </c>
      <c r="E114" s="23"/>
    </row>
    <row r="115">
      <c r="A115" s="37">
        <v>46119.0</v>
      </c>
      <c r="B115" s="15" t="s">
        <v>2727</v>
      </c>
      <c r="C115" s="36"/>
      <c r="D115" s="33">
        <v>212000.0</v>
      </c>
      <c r="E115" s="23"/>
    </row>
    <row r="116">
      <c r="A116" s="37">
        <v>46119.0</v>
      </c>
      <c r="B116" s="15" t="s">
        <v>2758</v>
      </c>
      <c r="C116" s="36"/>
      <c r="D116" s="33">
        <v>93000.0</v>
      </c>
      <c r="E116" s="23"/>
    </row>
    <row r="117">
      <c r="A117" s="37">
        <v>46121.0</v>
      </c>
      <c r="B117" s="15" t="s">
        <v>2759</v>
      </c>
      <c r="C117" s="36"/>
      <c r="D117" s="33">
        <v>32000.0</v>
      </c>
      <c r="E117" s="23"/>
    </row>
    <row r="118">
      <c r="A118" s="37">
        <v>46122.0</v>
      </c>
      <c r="B118" s="15" t="s">
        <v>2740</v>
      </c>
      <c r="C118" s="36"/>
      <c r="D118" s="33">
        <v>50000.0</v>
      </c>
      <c r="E118" s="23"/>
    </row>
    <row r="119">
      <c r="A119" s="37">
        <v>46122.0</v>
      </c>
      <c r="B119" s="15" t="s">
        <v>2757</v>
      </c>
      <c r="C119" s="36"/>
      <c r="D119" s="33">
        <v>83000.0</v>
      </c>
      <c r="E119" s="23"/>
    </row>
    <row r="120">
      <c r="A120" s="37">
        <v>46123.0</v>
      </c>
      <c r="B120" s="15" t="s">
        <v>2760</v>
      </c>
      <c r="C120" s="36"/>
      <c r="D120" s="33">
        <v>433000.0</v>
      </c>
      <c r="E120" s="23"/>
    </row>
    <row r="121">
      <c r="A121" s="37">
        <v>46123.0</v>
      </c>
      <c r="B121" s="15" t="s">
        <v>2734</v>
      </c>
      <c r="C121" s="36"/>
      <c r="D121" s="36"/>
      <c r="E121" s="22">
        <v>970000.0</v>
      </c>
    </row>
    <row r="122">
      <c r="A122" s="37">
        <v>46125.0</v>
      </c>
      <c r="B122" s="15" t="s">
        <v>2757</v>
      </c>
      <c r="C122" s="36"/>
      <c r="D122" s="33">
        <v>70000.0</v>
      </c>
      <c r="E122" s="23"/>
    </row>
    <row r="123">
      <c r="A123" s="37">
        <v>46127.0</v>
      </c>
      <c r="B123" s="15" t="s">
        <v>2761</v>
      </c>
      <c r="C123" s="36"/>
      <c r="D123" s="33">
        <v>164000.0</v>
      </c>
      <c r="E123" s="23"/>
    </row>
    <row r="124">
      <c r="A124" s="37">
        <v>46133.0</v>
      </c>
      <c r="B124" s="15" t="s">
        <v>2762</v>
      </c>
      <c r="C124" s="36"/>
      <c r="D124" s="33">
        <v>250000.0</v>
      </c>
      <c r="E124" s="23"/>
    </row>
    <row r="125">
      <c r="A125" s="37">
        <v>46135.0</v>
      </c>
      <c r="B125" s="15" t="s">
        <v>2763</v>
      </c>
      <c r="C125" s="33">
        <v>4599000.0</v>
      </c>
      <c r="D125" s="36"/>
      <c r="E125" s="23"/>
    </row>
    <row r="126">
      <c r="A126" s="37">
        <v>46137.0</v>
      </c>
      <c r="B126" s="15" t="s">
        <v>831</v>
      </c>
      <c r="C126" s="33">
        <v>1177000.0</v>
      </c>
      <c r="D126" s="36"/>
      <c r="E126" s="23"/>
    </row>
    <row r="127">
      <c r="A127" s="37">
        <v>46137.0</v>
      </c>
      <c r="B127" s="15" t="s">
        <v>2735</v>
      </c>
      <c r="C127" s="36"/>
      <c r="D127" s="33">
        <v>234500.0</v>
      </c>
      <c r="E127" s="23"/>
    </row>
    <row r="128">
      <c r="A128" s="37">
        <v>46137.0</v>
      </c>
      <c r="B128" s="15" t="s">
        <v>2734</v>
      </c>
      <c r="C128" s="36"/>
      <c r="D128" s="36"/>
      <c r="E128" s="22">
        <v>127000.0</v>
      </c>
    </row>
    <row r="129">
      <c r="A129" s="37">
        <v>46141.0</v>
      </c>
      <c r="B129" s="15" t="s">
        <v>2764</v>
      </c>
      <c r="C129" s="36"/>
      <c r="D129" s="33">
        <v>59200.0</v>
      </c>
      <c r="E129" s="23"/>
    </row>
    <row r="130">
      <c r="A130" s="37">
        <v>46146.0</v>
      </c>
      <c r="B130" s="15" t="s">
        <v>2734</v>
      </c>
      <c r="C130" s="36"/>
      <c r="D130" s="36"/>
      <c r="E130" s="22">
        <v>2795000.0</v>
      </c>
    </row>
    <row r="131">
      <c r="A131" s="37">
        <v>46147.0</v>
      </c>
      <c r="B131" s="15" t="s">
        <v>2765</v>
      </c>
      <c r="C131" s="36"/>
      <c r="D131" s="33">
        <v>88000.0</v>
      </c>
      <c r="E131" s="23"/>
    </row>
    <row r="132">
      <c r="A132" s="37">
        <v>46149.0</v>
      </c>
      <c r="B132" s="15" t="s">
        <v>2740</v>
      </c>
      <c r="C132" s="36"/>
      <c r="D132" s="33">
        <v>150000.0</v>
      </c>
      <c r="E132" s="23"/>
    </row>
    <row r="133">
      <c r="C133" s="36">
        <f>SUM(C3:C126)</f>
        <v>48655000</v>
      </c>
      <c r="D133" s="36">
        <f>SUM(D3:D129)</f>
        <v>12657550</v>
      </c>
      <c r="E133" s="23">
        <f>Sum(E71:E130)</f>
        <v>7782500</v>
      </c>
    </row>
    <row r="134">
      <c r="B134" s="15" t="s">
        <v>2766</v>
      </c>
      <c r="C134" s="36">
        <f>((Pemasukan!E3)-(C133+D133+E133))</f>
        <v>-10849550</v>
      </c>
      <c r="E134" s="23"/>
    </row>
    <row r="135">
      <c r="E135" s="23"/>
    </row>
    <row r="136">
      <c r="D136" s="36"/>
      <c r="E136" s="23"/>
    </row>
    <row r="137">
      <c r="D137" s="36"/>
      <c r="E137" s="23"/>
    </row>
    <row r="138">
      <c r="D138" s="36"/>
      <c r="E138" s="23"/>
    </row>
    <row r="139">
      <c r="D139" s="36"/>
      <c r="E139" s="23"/>
    </row>
    <row r="140">
      <c r="D140" s="36"/>
      <c r="E140" s="23"/>
    </row>
    <row r="141">
      <c r="D141" s="36"/>
      <c r="E141" s="23"/>
    </row>
    <row r="142">
      <c r="D142" s="36"/>
      <c r="E142" s="23"/>
    </row>
    <row r="143">
      <c r="D143" s="36"/>
      <c r="E143" s="23"/>
    </row>
    <row r="144">
      <c r="D144" s="36"/>
      <c r="E144" s="23"/>
    </row>
    <row r="145">
      <c r="D145" s="36"/>
      <c r="E145" s="23"/>
    </row>
    <row r="146">
      <c r="D146" s="36"/>
      <c r="E146" s="23"/>
    </row>
    <row r="147">
      <c r="D147" s="36"/>
      <c r="E147" s="23"/>
    </row>
    <row r="148">
      <c r="D148" s="36"/>
      <c r="E148" s="23"/>
    </row>
    <row r="149">
      <c r="D149" s="36"/>
      <c r="E149" s="23"/>
    </row>
    <row r="150">
      <c r="D150" s="36"/>
      <c r="E150" s="23"/>
    </row>
    <row r="151">
      <c r="D151" s="36"/>
      <c r="E151" s="23"/>
    </row>
    <row r="152">
      <c r="D152" s="36"/>
      <c r="E152" s="23"/>
    </row>
    <row r="153">
      <c r="D153" s="36"/>
      <c r="E153" s="23"/>
    </row>
    <row r="154">
      <c r="D154" s="36"/>
      <c r="E154" s="23"/>
    </row>
    <row r="155">
      <c r="D155" s="36"/>
      <c r="E155" s="23"/>
    </row>
    <row r="156">
      <c r="D156" s="36"/>
      <c r="E156" s="23"/>
    </row>
    <row r="157">
      <c r="D157" s="36"/>
      <c r="E157" s="23"/>
    </row>
    <row r="158">
      <c r="D158" s="36"/>
      <c r="E158" s="23"/>
    </row>
    <row r="159">
      <c r="D159" s="36"/>
      <c r="E159" s="23"/>
    </row>
    <row r="160">
      <c r="D160" s="36"/>
      <c r="E160" s="23"/>
    </row>
    <row r="161">
      <c r="D161" s="36"/>
      <c r="E161" s="23"/>
    </row>
    <row r="162">
      <c r="D162" s="36"/>
      <c r="E162" s="23"/>
    </row>
    <row r="163">
      <c r="D163" s="36"/>
      <c r="E163" s="23"/>
    </row>
    <row r="164">
      <c r="D164" s="36"/>
      <c r="E164" s="23"/>
    </row>
    <row r="165">
      <c r="D165" s="36"/>
      <c r="E165" s="23"/>
    </row>
    <row r="166">
      <c r="D166" s="36"/>
      <c r="E166" s="23"/>
    </row>
    <row r="167">
      <c r="D167" s="36"/>
      <c r="E167" s="23"/>
    </row>
    <row r="168">
      <c r="D168" s="36"/>
      <c r="E168" s="23"/>
    </row>
    <row r="169">
      <c r="D169" s="36"/>
      <c r="E169" s="23"/>
    </row>
    <row r="170">
      <c r="D170" s="36"/>
      <c r="E170" s="23"/>
    </row>
    <row r="171">
      <c r="D171" s="36"/>
      <c r="E171" s="23"/>
    </row>
    <row r="172">
      <c r="D172" s="36"/>
      <c r="E172" s="23"/>
    </row>
    <row r="173">
      <c r="D173" s="36"/>
      <c r="E173" s="23"/>
    </row>
    <row r="174">
      <c r="D174" s="36"/>
      <c r="E174" s="23"/>
    </row>
    <row r="175">
      <c r="D175" s="36"/>
      <c r="E175" s="23"/>
    </row>
    <row r="176">
      <c r="D176" s="36"/>
      <c r="E176" s="23"/>
    </row>
    <row r="177">
      <c r="D177" s="36"/>
      <c r="E177" s="23"/>
    </row>
    <row r="178">
      <c r="D178" s="36"/>
      <c r="E178" s="23"/>
    </row>
    <row r="179">
      <c r="D179" s="36"/>
      <c r="E179" s="23"/>
    </row>
    <row r="180">
      <c r="D180" s="36"/>
      <c r="E180" s="23"/>
    </row>
    <row r="181">
      <c r="D181" s="36"/>
      <c r="E181" s="23"/>
    </row>
    <row r="182">
      <c r="D182" s="36"/>
      <c r="E182" s="23"/>
    </row>
    <row r="183">
      <c r="D183" s="36"/>
      <c r="E183" s="23"/>
    </row>
    <row r="184">
      <c r="D184" s="36"/>
      <c r="E184" s="23"/>
    </row>
    <row r="185">
      <c r="D185" s="36"/>
      <c r="E185" s="23"/>
    </row>
    <row r="186">
      <c r="D186" s="36"/>
      <c r="E186" s="23"/>
    </row>
    <row r="187">
      <c r="D187" s="36"/>
      <c r="E187" s="23"/>
    </row>
    <row r="188">
      <c r="D188" s="36"/>
      <c r="E188" s="23"/>
    </row>
    <row r="189">
      <c r="D189" s="36"/>
      <c r="E189" s="23"/>
    </row>
    <row r="190">
      <c r="D190" s="36"/>
      <c r="E190" s="23"/>
    </row>
    <row r="191">
      <c r="D191" s="36"/>
      <c r="E191" s="23"/>
    </row>
    <row r="192">
      <c r="D192" s="36"/>
      <c r="E192" s="23"/>
    </row>
    <row r="193">
      <c r="D193" s="36"/>
      <c r="E193" s="23"/>
    </row>
    <row r="194">
      <c r="D194" s="36"/>
      <c r="E194" s="23"/>
    </row>
    <row r="195">
      <c r="D195" s="36"/>
      <c r="E195" s="23"/>
    </row>
    <row r="196">
      <c r="D196" s="36"/>
      <c r="E196" s="23"/>
    </row>
    <row r="197">
      <c r="D197" s="36"/>
      <c r="E197" s="23"/>
    </row>
    <row r="198">
      <c r="D198" s="36"/>
      <c r="E198" s="23"/>
    </row>
    <row r="199">
      <c r="D199" s="36"/>
      <c r="E199" s="23"/>
    </row>
    <row r="200">
      <c r="D200" s="36"/>
      <c r="E200" s="23"/>
    </row>
    <row r="201">
      <c r="D201" s="36"/>
      <c r="E201" s="23"/>
    </row>
    <row r="202">
      <c r="D202" s="36"/>
      <c r="E202" s="23"/>
    </row>
    <row r="203">
      <c r="D203" s="36"/>
      <c r="E203" s="23"/>
    </row>
    <row r="204">
      <c r="D204" s="36"/>
      <c r="E204" s="23"/>
    </row>
    <row r="205">
      <c r="D205" s="36"/>
      <c r="E205" s="23"/>
    </row>
    <row r="206">
      <c r="D206" s="36"/>
      <c r="E206" s="23"/>
    </row>
    <row r="207">
      <c r="D207" s="36"/>
      <c r="E207" s="23"/>
    </row>
    <row r="208">
      <c r="D208" s="36"/>
      <c r="E208" s="23"/>
    </row>
    <row r="209">
      <c r="D209" s="36"/>
      <c r="E209" s="23"/>
    </row>
    <row r="210">
      <c r="D210" s="36"/>
      <c r="E210" s="23"/>
    </row>
    <row r="211">
      <c r="D211" s="36"/>
      <c r="E211" s="23"/>
    </row>
    <row r="212">
      <c r="D212" s="36"/>
      <c r="E212" s="23"/>
    </row>
    <row r="213">
      <c r="D213" s="36"/>
      <c r="E213" s="23"/>
    </row>
    <row r="214">
      <c r="D214" s="36"/>
      <c r="E214" s="23"/>
    </row>
    <row r="215">
      <c r="D215" s="36"/>
      <c r="E215" s="23"/>
    </row>
    <row r="216">
      <c r="D216" s="36"/>
      <c r="E216" s="23"/>
    </row>
    <row r="217">
      <c r="D217" s="36"/>
      <c r="E217" s="23"/>
    </row>
    <row r="218">
      <c r="D218" s="36"/>
      <c r="E218" s="23"/>
    </row>
    <row r="219">
      <c r="D219" s="36"/>
      <c r="E219" s="23"/>
    </row>
    <row r="220">
      <c r="D220" s="36"/>
      <c r="E220" s="23"/>
    </row>
    <row r="221">
      <c r="D221" s="36"/>
      <c r="E221" s="23"/>
    </row>
    <row r="222">
      <c r="D222" s="36"/>
      <c r="E222" s="23"/>
    </row>
    <row r="223">
      <c r="D223" s="36"/>
      <c r="E223" s="23"/>
    </row>
    <row r="224">
      <c r="D224" s="36"/>
      <c r="E224" s="23"/>
    </row>
    <row r="225">
      <c r="D225" s="36"/>
      <c r="E225" s="23"/>
    </row>
    <row r="226">
      <c r="D226" s="36"/>
      <c r="E226" s="23"/>
    </row>
    <row r="227">
      <c r="D227" s="36"/>
      <c r="E227" s="23"/>
    </row>
    <row r="228">
      <c r="D228" s="36"/>
      <c r="E228" s="23"/>
    </row>
    <row r="229">
      <c r="D229" s="36"/>
      <c r="E229" s="23"/>
    </row>
    <row r="230">
      <c r="D230" s="36"/>
      <c r="E230" s="23"/>
    </row>
    <row r="231">
      <c r="D231" s="36"/>
      <c r="E231" s="23"/>
    </row>
    <row r="232">
      <c r="D232" s="36"/>
      <c r="E232" s="23"/>
    </row>
    <row r="233">
      <c r="D233" s="36"/>
      <c r="E233" s="23"/>
    </row>
    <row r="234">
      <c r="D234" s="36"/>
      <c r="E234" s="23"/>
    </row>
    <row r="235">
      <c r="D235" s="36"/>
      <c r="E235" s="23"/>
    </row>
    <row r="236">
      <c r="D236" s="36"/>
      <c r="E236" s="23"/>
    </row>
    <row r="237">
      <c r="D237" s="36"/>
      <c r="E237" s="23"/>
    </row>
    <row r="238">
      <c r="D238" s="36"/>
      <c r="E238" s="23"/>
    </row>
    <row r="239">
      <c r="D239" s="36"/>
      <c r="E239" s="23"/>
    </row>
    <row r="240">
      <c r="D240" s="36"/>
      <c r="E240" s="23"/>
    </row>
    <row r="241">
      <c r="D241" s="36"/>
      <c r="E241" s="23"/>
    </row>
    <row r="242">
      <c r="D242" s="36"/>
      <c r="E242" s="23"/>
    </row>
    <row r="243">
      <c r="D243" s="36"/>
      <c r="E243" s="23"/>
    </row>
    <row r="244">
      <c r="D244" s="36"/>
      <c r="E244" s="23"/>
    </row>
    <row r="245">
      <c r="D245" s="36"/>
      <c r="E245" s="23"/>
    </row>
    <row r="246">
      <c r="D246" s="36"/>
      <c r="E246" s="23"/>
    </row>
    <row r="247">
      <c r="D247" s="36"/>
      <c r="E247" s="23"/>
    </row>
    <row r="248">
      <c r="D248" s="36"/>
      <c r="E248" s="23"/>
    </row>
    <row r="249">
      <c r="D249" s="36"/>
      <c r="E249" s="23"/>
    </row>
    <row r="250">
      <c r="D250" s="36"/>
      <c r="E250" s="23"/>
    </row>
    <row r="251">
      <c r="D251" s="36"/>
      <c r="E251" s="23"/>
    </row>
    <row r="252">
      <c r="D252" s="36"/>
      <c r="E252" s="23"/>
    </row>
    <row r="253">
      <c r="D253" s="36"/>
      <c r="E253" s="23"/>
    </row>
    <row r="254">
      <c r="D254" s="36"/>
      <c r="E254" s="23"/>
    </row>
    <row r="255">
      <c r="D255" s="36"/>
      <c r="E255" s="23"/>
    </row>
    <row r="256">
      <c r="D256" s="36"/>
      <c r="E256" s="23"/>
    </row>
    <row r="257">
      <c r="D257" s="36"/>
      <c r="E257" s="23"/>
    </row>
    <row r="258">
      <c r="D258" s="36"/>
      <c r="E258" s="23"/>
    </row>
    <row r="259">
      <c r="D259" s="36"/>
      <c r="E259" s="23"/>
    </row>
    <row r="260">
      <c r="D260" s="36"/>
      <c r="E260" s="23"/>
    </row>
    <row r="261">
      <c r="D261" s="36"/>
      <c r="E261" s="23"/>
    </row>
    <row r="262">
      <c r="D262" s="36"/>
      <c r="E262" s="23"/>
    </row>
    <row r="263">
      <c r="D263" s="36"/>
      <c r="E263" s="23"/>
    </row>
    <row r="264">
      <c r="D264" s="36"/>
      <c r="E264" s="23"/>
    </row>
    <row r="265">
      <c r="D265" s="36"/>
      <c r="E265" s="23"/>
    </row>
    <row r="266">
      <c r="D266" s="36"/>
      <c r="E266" s="23"/>
    </row>
    <row r="267">
      <c r="D267" s="36"/>
      <c r="E267" s="23"/>
    </row>
    <row r="268">
      <c r="D268" s="36"/>
      <c r="E268" s="23"/>
    </row>
    <row r="269">
      <c r="D269" s="36"/>
      <c r="E269" s="23"/>
    </row>
    <row r="270">
      <c r="D270" s="36"/>
      <c r="E270" s="23"/>
    </row>
    <row r="271">
      <c r="D271" s="36"/>
      <c r="E271" s="23"/>
    </row>
    <row r="272">
      <c r="D272" s="36"/>
      <c r="E272" s="23"/>
    </row>
    <row r="273">
      <c r="D273" s="36"/>
      <c r="E273" s="23"/>
    </row>
    <row r="274">
      <c r="D274" s="36"/>
      <c r="E274" s="23"/>
    </row>
    <row r="275">
      <c r="D275" s="36"/>
      <c r="E275" s="23"/>
    </row>
    <row r="276">
      <c r="D276" s="36"/>
      <c r="E276" s="23"/>
    </row>
    <row r="277">
      <c r="D277" s="36"/>
      <c r="E277" s="23"/>
    </row>
    <row r="278">
      <c r="D278" s="36"/>
      <c r="E278" s="23"/>
    </row>
    <row r="279">
      <c r="D279" s="36"/>
      <c r="E279" s="23"/>
    </row>
    <row r="280">
      <c r="D280" s="36"/>
      <c r="E280" s="23"/>
    </row>
    <row r="281">
      <c r="D281" s="36"/>
      <c r="E281" s="23"/>
    </row>
    <row r="282">
      <c r="D282" s="36"/>
      <c r="E282" s="23"/>
    </row>
    <row r="283">
      <c r="D283" s="36"/>
      <c r="E283" s="23"/>
    </row>
    <row r="284">
      <c r="D284" s="36"/>
      <c r="E284" s="23"/>
    </row>
    <row r="285">
      <c r="D285" s="36"/>
      <c r="E285" s="23"/>
    </row>
    <row r="286">
      <c r="D286" s="36"/>
      <c r="E286" s="23"/>
    </row>
    <row r="287">
      <c r="D287" s="36"/>
      <c r="E287" s="23"/>
    </row>
    <row r="288">
      <c r="D288" s="36"/>
      <c r="E288" s="23"/>
    </row>
    <row r="289">
      <c r="D289" s="36"/>
      <c r="E289" s="23"/>
    </row>
    <row r="290">
      <c r="D290" s="36"/>
      <c r="E290" s="23"/>
    </row>
    <row r="291">
      <c r="D291" s="36"/>
      <c r="E291" s="23"/>
    </row>
    <row r="292">
      <c r="D292" s="36"/>
      <c r="E292" s="23"/>
    </row>
    <row r="293">
      <c r="D293" s="36"/>
      <c r="E293" s="23"/>
    </row>
    <row r="294">
      <c r="D294" s="36"/>
      <c r="E294" s="23"/>
    </row>
    <row r="295">
      <c r="D295" s="36"/>
      <c r="E295" s="23"/>
    </row>
    <row r="296">
      <c r="D296" s="36"/>
      <c r="E296" s="23"/>
    </row>
    <row r="297">
      <c r="D297" s="36"/>
      <c r="E297" s="23"/>
    </row>
    <row r="298">
      <c r="D298" s="36"/>
      <c r="E298" s="23"/>
    </row>
    <row r="299">
      <c r="D299" s="36"/>
      <c r="E299" s="23"/>
    </row>
    <row r="300">
      <c r="D300" s="36"/>
      <c r="E300" s="23"/>
    </row>
    <row r="301">
      <c r="D301" s="36"/>
      <c r="E301" s="23"/>
    </row>
    <row r="302">
      <c r="D302" s="36"/>
      <c r="E302" s="23"/>
    </row>
    <row r="303">
      <c r="D303" s="36"/>
      <c r="E303" s="23"/>
    </row>
    <row r="304">
      <c r="D304" s="36"/>
      <c r="E304" s="23"/>
    </row>
    <row r="305">
      <c r="D305" s="36"/>
      <c r="E305" s="23"/>
    </row>
    <row r="306">
      <c r="D306" s="36"/>
      <c r="E306" s="23"/>
    </row>
    <row r="307">
      <c r="D307" s="36"/>
      <c r="E307" s="23"/>
    </row>
    <row r="308">
      <c r="D308" s="36"/>
      <c r="E308" s="23"/>
    </row>
    <row r="309">
      <c r="D309" s="36"/>
      <c r="E309" s="23"/>
    </row>
    <row r="310">
      <c r="D310" s="36"/>
      <c r="E310" s="23"/>
    </row>
    <row r="311">
      <c r="D311" s="36"/>
      <c r="E311" s="23"/>
    </row>
    <row r="312">
      <c r="D312" s="36"/>
      <c r="E312" s="23"/>
    </row>
    <row r="313">
      <c r="D313" s="36"/>
      <c r="E313" s="23"/>
    </row>
    <row r="314">
      <c r="D314" s="36"/>
      <c r="E314" s="23"/>
    </row>
    <row r="315">
      <c r="D315" s="36"/>
      <c r="E315" s="23"/>
    </row>
    <row r="316">
      <c r="D316" s="36"/>
      <c r="E316" s="23"/>
    </row>
    <row r="317">
      <c r="D317" s="36"/>
      <c r="E317" s="23"/>
    </row>
    <row r="318">
      <c r="D318" s="36"/>
      <c r="E318" s="23"/>
    </row>
    <row r="319">
      <c r="D319" s="36"/>
      <c r="E319" s="23"/>
    </row>
    <row r="320">
      <c r="D320" s="36"/>
      <c r="E320" s="23"/>
    </row>
    <row r="321">
      <c r="D321" s="36"/>
      <c r="E321" s="23"/>
    </row>
    <row r="322">
      <c r="D322" s="36"/>
      <c r="E322" s="23"/>
    </row>
    <row r="323">
      <c r="D323" s="36"/>
      <c r="E323" s="23"/>
    </row>
    <row r="324">
      <c r="D324" s="36"/>
      <c r="E324" s="23"/>
    </row>
    <row r="325">
      <c r="D325" s="36"/>
      <c r="E325" s="23"/>
    </row>
    <row r="326">
      <c r="D326" s="36"/>
      <c r="E326" s="23"/>
    </row>
    <row r="327">
      <c r="D327" s="36"/>
      <c r="E327" s="23"/>
    </row>
    <row r="328">
      <c r="D328" s="36"/>
      <c r="E328" s="23"/>
    </row>
    <row r="329">
      <c r="D329" s="36"/>
      <c r="E329" s="23"/>
    </row>
    <row r="330">
      <c r="D330" s="36"/>
      <c r="E330" s="23"/>
    </row>
    <row r="331">
      <c r="D331" s="36"/>
      <c r="E331" s="23"/>
    </row>
    <row r="332">
      <c r="D332" s="36"/>
      <c r="E332" s="23"/>
    </row>
    <row r="333">
      <c r="D333" s="36"/>
      <c r="E333" s="23"/>
    </row>
    <row r="334">
      <c r="D334" s="36"/>
      <c r="E334" s="23"/>
    </row>
    <row r="335">
      <c r="D335" s="36"/>
      <c r="E335" s="23"/>
    </row>
    <row r="336">
      <c r="D336" s="36"/>
      <c r="E336" s="23"/>
    </row>
    <row r="337">
      <c r="D337" s="36"/>
      <c r="E337" s="23"/>
    </row>
    <row r="338">
      <c r="D338" s="36"/>
      <c r="E338" s="23"/>
    </row>
    <row r="339">
      <c r="D339" s="36"/>
      <c r="E339" s="23"/>
    </row>
    <row r="340">
      <c r="D340" s="36"/>
      <c r="E340" s="23"/>
    </row>
    <row r="341">
      <c r="D341" s="36"/>
      <c r="E341" s="23"/>
    </row>
    <row r="342">
      <c r="D342" s="36"/>
      <c r="E342" s="23"/>
    </row>
    <row r="343">
      <c r="D343" s="36"/>
      <c r="E343" s="23"/>
    </row>
    <row r="344">
      <c r="D344" s="36"/>
      <c r="E344" s="23"/>
    </row>
    <row r="345">
      <c r="D345" s="36"/>
      <c r="E345" s="23"/>
    </row>
    <row r="346">
      <c r="D346" s="36"/>
      <c r="E346" s="23"/>
    </row>
    <row r="347">
      <c r="D347" s="36"/>
      <c r="E347" s="23"/>
    </row>
    <row r="348">
      <c r="D348" s="36"/>
      <c r="E348" s="23"/>
    </row>
    <row r="349">
      <c r="D349" s="36"/>
      <c r="E349" s="23"/>
    </row>
    <row r="350">
      <c r="D350" s="36"/>
      <c r="E350" s="23"/>
    </row>
    <row r="351">
      <c r="D351" s="36"/>
      <c r="E351" s="23"/>
    </row>
    <row r="352">
      <c r="D352" s="36"/>
      <c r="E352" s="23"/>
    </row>
    <row r="353">
      <c r="D353" s="36"/>
      <c r="E353" s="23"/>
    </row>
    <row r="354">
      <c r="D354" s="36"/>
      <c r="E354" s="23"/>
    </row>
    <row r="355">
      <c r="D355" s="36"/>
      <c r="E355" s="23"/>
    </row>
    <row r="356">
      <c r="D356" s="36"/>
      <c r="E356" s="23"/>
    </row>
    <row r="357">
      <c r="D357" s="36"/>
      <c r="E357" s="23"/>
    </row>
    <row r="358">
      <c r="D358" s="36"/>
      <c r="E358" s="23"/>
    </row>
    <row r="359">
      <c r="D359" s="36"/>
      <c r="E359" s="23"/>
    </row>
    <row r="360">
      <c r="D360" s="36"/>
      <c r="E360" s="23"/>
    </row>
    <row r="361">
      <c r="D361" s="36"/>
      <c r="E361" s="23"/>
    </row>
    <row r="362">
      <c r="D362" s="36"/>
      <c r="E362" s="23"/>
    </row>
    <row r="363">
      <c r="D363" s="36"/>
      <c r="E363" s="23"/>
    </row>
    <row r="364">
      <c r="D364" s="36"/>
      <c r="E364" s="23"/>
    </row>
    <row r="365">
      <c r="D365" s="36"/>
      <c r="E365" s="23"/>
    </row>
    <row r="366">
      <c r="D366" s="36"/>
      <c r="E366" s="23"/>
    </row>
    <row r="367">
      <c r="D367" s="36"/>
      <c r="E367" s="23"/>
    </row>
    <row r="368">
      <c r="D368" s="36"/>
      <c r="E368" s="23"/>
    </row>
    <row r="369">
      <c r="D369" s="36"/>
      <c r="E369" s="23"/>
    </row>
    <row r="370">
      <c r="D370" s="36"/>
      <c r="E370" s="23"/>
    </row>
    <row r="371">
      <c r="D371" s="36"/>
      <c r="E371" s="23"/>
    </row>
    <row r="372">
      <c r="D372" s="36"/>
      <c r="E372" s="23"/>
    </row>
    <row r="373">
      <c r="D373" s="36"/>
      <c r="E373" s="23"/>
    </row>
    <row r="374">
      <c r="D374" s="36"/>
      <c r="E374" s="23"/>
    </row>
    <row r="375">
      <c r="D375" s="36"/>
      <c r="E375" s="23"/>
    </row>
    <row r="376">
      <c r="D376" s="36"/>
      <c r="E376" s="23"/>
    </row>
    <row r="377">
      <c r="D377" s="36"/>
      <c r="E377" s="23"/>
    </row>
    <row r="378">
      <c r="D378" s="36"/>
      <c r="E378" s="23"/>
    </row>
    <row r="379">
      <c r="D379" s="36"/>
      <c r="E379" s="23"/>
    </row>
    <row r="380">
      <c r="D380" s="36"/>
      <c r="E380" s="23"/>
    </row>
    <row r="381">
      <c r="D381" s="36"/>
      <c r="E381" s="23"/>
    </row>
    <row r="382">
      <c r="D382" s="36"/>
      <c r="E382" s="23"/>
    </row>
    <row r="383">
      <c r="D383" s="36"/>
      <c r="E383" s="23"/>
    </row>
    <row r="384">
      <c r="D384" s="36"/>
      <c r="E384" s="23"/>
    </row>
    <row r="385">
      <c r="D385" s="36"/>
      <c r="E385" s="23"/>
    </row>
    <row r="386">
      <c r="D386" s="36"/>
      <c r="E386" s="23"/>
    </row>
    <row r="387">
      <c r="D387" s="36"/>
      <c r="E387" s="23"/>
    </row>
    <row r="388">
      <c r="D388" s="36"/>
      <c r="E388" s="23"/>
    </row>
    <row r="389">
      <c r="D389" s="36"/>
      <c r="E389" s="23"/>
    </row>
    <row r="390">
      <c r="D390" s="36"/>
      <c r="E390" s="23"/>
    </row>
    <row r="391">
      <c r="D391" s="36"/>
      <c r="E391" s="23"/>
    </row>
    <row r="392">
      <c r="D392" s="36"/>
      <c r="E392" s="23"/>
    </row>
    <row r="393">
      <c r="D393" s="36"/>
      <c r="E393" s="23"/>
    </row>
    <row r="394">
      <c r="D394" s="36"/>
      <c r="E394" s="23"/>
    </row>
    <row r="395">
      <c r="D395" s="36"/>
      <c r="E395" s="23"/>
    </row>
    <row r="396">
      <c r="D396" s="36"/>
      <c r="E396" s="23"/>
    </row>
    <row r="397">
      <c r="D397" s="36"/>
      <c r="E397" s="23"/>
    </row>
    <row r="398">
      <c r="D398" s="36"/>
      <c r="E398" s="23"/>
    </row>
    <row r="399">
      <c r="D399" s="36"/>
      <c r="E399" s="23"/>
    </row>
    <row r="400">
      <c r="D400" s="36"/>
      <c r="E400" s="23"/>
    </row>
    <row r="401">
      <c r="D401" s="36"/>
      <c r="E401" s="23"/>
    </row>
    <row r="402">
      <c r="D402" s="36"/>
      <c r="E402" s="23"/>
    </row>
    <row r="403">
      <c r="D403" s="36"/>
      <c r="E403" s="23"/>
    </row>
    <row r="404">
      <c r="D404" s="36"/>
      <c r="E404" s="23"/>
    </row>
    <row r="405">
      <c r="D405" s="36"/>
      <c r="E405" s="23"/>
    </row>
    <row r="406">
      <c r="D406" s="36"/>
      <c r="E406" s="23"/>
    </row>
    <row r="407">
      <c r="D407" s="36"/>
      <c r="E407" s="23"/>
    </row>
    <row r="408">
      <c r="D408" s="36"/>
      <c r="E408" s="23"/>
    </row>
    <row r="409">
      <c r="D409" s="36"/>
      <c r="E409" s="23"/>
    </row>
    <row r="410">
      <c r="D410" s="36"/>
      <c r="E410" s="23"/>
    </row>
    <row r="411">
      <c r="D411" s="36"/>
      <c r="E411" s="23"/>
    </row>
    <row r="412">
      <c r="D412" s="36"/>
      <c r="E412" s="23"/>
    </row>
    <row r="413">
      <c r="D413" s="36"/>
      <c r="E413" s="23"/>
    </row>
    <row r="414">
      <c r="D414" s="36"/>
      <c r="E414" s="23"/>
    </row>
    <row r="415">
      <c r="D415" s="36"/>
      <c r="E415" s="23"/>
    </row>
    <row r="416">
      <c r="D416" s="36"/>
      <c r="E416" s="23"/>
    </row>
    <row r="417">
      <c r="D417" s="36"/>
      <c r="E417" s="23"/>
    </row>
    <row r="418">
      <c r="D418" s="36"/>
      <c r="E418" s="23"/>
    </row>
    <row r="419">
      <c r="D419" s="36"/>
      <c r="E419" s="23"/>
    </row>
    <row r="420">
      <c r="D420" s="36"/>
      <c r="E420" s="23"/>
    </row>
    <row r="421">
      <c r="D421" s="36"/>
      <c r="E421" s="23"/>
    </row>
    <row r="422">
      <c r="D422" s="36"/>
      <c r="E422" s="23"/>
    </row>
    <row r="423">
      <c r="D423" s="36"/>
      <c r="E423" s="23"/>
    </row>
    <row r="424">
      <c r="D424" s="36"/>
      <c r="E424" s="23"/>
    </row>
    <row r="425">
      <c r="D425" s="36"/>
      <c r="E425" s="23"/>
    </row>
    <row r="426">
      <c r="D426" s="36"/>
      <c r="E426" s="23"/>
    </row>
    <row r="427">
      <c r="D427" s="36"/>
      <c r="E427" s="23"/>
    </row>
    <row r="428">
      <c r="D428" s="36"/>
      <c r="E428" s="23"/>
    </row>
    <row r="429">
      <c r="D429" s="36"/>
      <c r="E429" s="23"/>
    </row>
    <row r="430">
      <c r="D430" s="36"/>
      <c r="E430" s="23"/>
    </row>
    <row r="431">
      <c r="D431" s="36"/>
      <c r="E431" s="23"/>
    </row>
    <row r="432">
      <c r="D432" s="36"/>
      <c r="E432" s="23"/>
    </row>
    <row r="433">
      <c r="D433" s="36"/>
      <c r="E433" s="23"/>
    </row>
    <row r="434">
      <c r="D434" s="36"/>
      <c r="E434" s="23"/>
    </row>
    <row r="435">
      <c r="D435" s="36"/>
      <c r="E435" s="23"/>
    </row>
    <row r="436">
      <c r="D436" s="36"/>
      <c r="E436" s="23"/>
    </row>
    <row r="437">
      <c r="D437" s="36"/>
      <c r="E437" s="23"/>
    </row>
    <row r="438">
      <c r="D438" s="36"/>
      <c r="E438" s="23"/>
    </row>
    <row r="439">
      <c r="D439" s="36"/>
      <c r="E439" s="23"/>
    </row>
    <row r="440">
      <c r="D440" s="36"/>
      <c r="E440" s="23"/>
    </row>
    <row r="441">
      <c r="D441" s="36"/>
      <c r="E441" s="23"/>
    </row>
    <row r="442">
      <c r="D442" s="36"/>
      <c r="E442" s="23"/>
    </row>
    <row r="443">
      <c r="D443" s="36"/>
      <c r="E443" s="23"/>
    </row>
    <row r="444">
      <c r="D444" s="36"/>
      <c r="E444" s="23"/>
    </row>
    <row r="445">
      <c r="D445" s="36"/>
      <c r="E445" s="23"/>
    </row>
    <row r="446">
      <c r="D446" s="36"/>
      <c r="E446" s="23"/>
    </row>
    <row r="447">
      <c r="D447" s="36"/>
      <c r="E447" s="23"/>
    </row>
    <row r="448">
      <c r="D448" s="36"/>
      <c r="E448" s="23"/>
    </row>
    <row r="449">
      <c r="D449" s="36"/>
      <c r="E449" s="23"/>
    </row>
    <row r="450">
      <c r="D450" s="36"/>
      <c r="E450" s="23"/>
    </row>
    <row r="451">
      <c r="D451" s="36"/>
      <c r="E451" s="23"/>
    </row>
    <row r="452">
      <c r="D452" s="36"/>
      <c r="E452" s="23"/>
    </row>
    <row r="453">
      <c r="D453" s="36"/>
      <c r="E453" s="23"/>
    </row>
    <row r="454">
      <c r="D454" s="36"/>
      <c r="E454" s="23"/>
    </row>
    <row r="455">
      <c r="D455" s="36"/>
      <c r="E455" s="23"/>
    </row>
    <row r="456">
      <c r="D456" s="36"/>
      <c r="E456" s="23"/>
    </row>
    <row r="457">
      <c r="D457" s="36"/>
      <c r="E457" s="23"/>
    </row>
    <row r="458">
      <c r="D458" s="36"/>
      <c r="E458" s="23"/>
    </row>
    <row r="459">
      <c r="D459" s="36"/>
      <c r="E459" s="23"/>
    </row>
    <row r="460">
      <c r="D460" s="36"/>
      <c r="E460" s="23"/>
    </row>
    <row r="461">
      <c r="D461" s="36"/>
      <c r="E461" s="23"/>
    </row>
    <row r="462">
      <c r="D462" s="36"/>
      <c r="E462" s="23"/>
    </row>
    <row r="463">
      <c r="D463" s="36"/>
      <c r="E463" s="23"/>
    </row>
    <row r="464">
      <c r="D464" s="36"/>
      <c r="E464" s="23"/>
    </row>
    <row r="465">
      <c r="D465" s="36"/>
      <c r="E465" s="23"/>
    </row>
    <row r="466">
      <c r="D466" s="36"/>
      <c r="E466" s="23"/>
    </row>
    <row r="467">
      <c r="D467" s="36"/>
      <c r="E467" s="23"/>
    </row>
    <row r="468">
      <c r="D468" s="36"/>
      <c r="E468" s="23"/>
    </row>
    <row r="469">
      <c r="D469" s="36"/>
      <c r="E469" s="23"/>
    </row>
    <row r="470">
      <c r="D470" s="36"/>
      <c r="E470" s="23"/>
    </row>
    <row r="471">
      <c r="D471" s="36"/>
      <c r="E471" s="23"/>
    </row>
    <row r="472">
      <c r="D472" s="36"/>
      <c r="E472" s="23"/>
    </row>
    <row r="473">
      <c r="D473" s="36"/>
      <c r="E473" s="23"/>
    </row>
    <row r="474">
      <c r="D474" s="36"/>
      <c r="E474" s="23"/>
    </row>
    <row r="475">
      <c r="D475" s="36"/>
      <c r="E475" s="23"/>
    </row>
    <row r="476">
      <c r="D476" s="36"/>
      <c r="E476" s="23"/>
    </row>
    <row r="477">
      <c r="D477" s="36"/>
      <c r="E477" s="23"/>
    </row>
    <row r="478">
      <c r="D478" s="36"/>
      <c r="E478" s="23"/>
    </row>
    <row r="479">
      <c r="D479" s="36"/>
      <c r="E479" s="23"/>
    </row>
    <row r="480">
      <c r="D480" s="36"/>
      <c r="E480" s="23"/>
    </row>
    <row r="481">
      <c r="D481" s="36"/>
      <c r="E481" s="23"/>
    </row>
    <row r="482">
      <c r="D482" s="36"/>
      <c r="E482" s="23"/>
    </row>
    <row r="483">
      <c r="D483" s="36"/>
      <c r="E483" s="23"/>
    </row>
    <row r="484">
      <c r="D484" s="36"/>
      <c r="E484" s="23"/>
    </row>
    <row r="485">
      <c r="D485" s="36"/>
      <c r="E485" s="23"/>
    </row>
    <row r="486">
      <c r="D486" s="36"/>
      <c r="E486" s="23"/>
    </row>
    <row r="487">
      <c r="D487" s="36"/>
      <c r="E487" s="23"/>
    </row>
    <row r="488">
      <c r="D488" s="36"/>
      <c r="E488" s="23"/>
    </row>
    <row r="489">
      <c r="D489" s="36"/>
      <c r="E489" s="23"/>
    </row>
    <row r="490">
      <c r="D490" s="36"/>
      <c r="E490" s="23"/>
    </row>
    <row r="491">
      <c r="D491" s="36"/>
      <c r="E491" s="23"/>
    </row>
    <row r="492">
      <c r="D492" s="36"/>
      <c r="E492" s="23"/>
    </row>
    <row r="493">
      <c r="D493" s="36"/>
      <c r="E493" s="23"/>
    </row>
    <row r="494">
      <c r="D494" s="36"/>
      <c r="E494" s="23"/>
    </row>
    <row r="495">
      <c r="D495" s="36"/>
      <c r="E495" s="23"/>
    </row>
    <row r="496">
      <c r="D496" s="36"/>
      <c r="E496" s="23"/>
    </row>
    <row r="497">
      <c r="D497" s="36"/>
      <c r="E497" s="23"/>
    </row>
    <row r="498">
      <c r="D498" s="36"/>
      <c r="E498" s="23"/>
    </row>
    <row r="499">
      <c r="D499" s="36"/>
      <c r="E499" s="23"/>
    </row>
    <row r="500">
      <c r="D500" s="36"/>
      <c r="E500" s="23"/>
    </row>
    <row r="501">
      <c r="D501" s="36"/>
      <c r="E501" s="23"/>
    </row>
    <row r="502">
      <c r="D502" s="36"/>
      <c r="E502" s="23"/>
    </row>
    <row r="503">
      <c r="D503" s="36"/>
      <c r="E503" s="23"/>
    </row>
    <row r="504">
      <c r="D504" s="36"/>
      <c r="E504" s="23"/>
    </row>
    <row r="505">
      <c r="D505" s="36"/>
      <c r="E505" s="23"/>
    </row>
    <row r="506">
      <c r="D506" s="36"/>
      <c r="E506" s="23"/>
    </row>
    <row r="507">
      <c r="D507" s="36"/>
      <c r="E507" s="23"/>
    </row>
    <row r="508">
      <c r="D508" s="36"/>
      <c r="E508" s="23"/>
    </row>
    <row r="509">
      <c r="D509" s="36"/>
      <c r="E509" s="23"/>
    </row>
    <row r="510">
      <c r="D510" s="36"/>
      <c r="E510" s="23"/>
    </row>
    <row r="511">
      <c r="D511" s="36"/>
      <c r="E511" s="23"/>
    </row>
    <row r="512">
      <c r="D512" s="36"/>
      <c r="E512" s="23"/>
    </row>
    <row r="513">
      <c r="D513" s="36"/>
      <c r="E513" s="23"/>
    </row>
    <row r="514">
      <c r="D514" s="36"/>
      <c r="E514" s="23"/>
    </row>
    <row r="515">
      <c r="D515" s="36"/>
      <c r="E515" s="23"/>
    </row>
    <row r="516">
      <c r="D516" s="36"/>
      <c r="E516" s="23"/>
    </row>
    <row r="517">
      <c r="D517" s="36"/>
      <c r="E517" s="23"/>
    </row>
    <row r="518">
      <c r="D518" s="36"/>
      <c r="E518" s="23"/>
    </row>
    <row r="519">
      <c r="D519" s="36"/>
      <c r="E519" s="23"/>
    </row>
    <row r="520">
      <c r="D520" s="36"/>
      <c r="E520" s="23"/>
    </row>
    <row r="521">
      <c r="D521" s="36"/>
      <c r="E521" s="23"/>
    </row>
    <row r="522">
      <c r="D522" s="36"/>
      <c r="E522" s="23"/>
    </row>
    <row r="523">
      <c r="D523" s="36"/>
      <c r="E523" s="23"/>
    </row>
    <row r="524">
      <c r="D524" s="36"/>
      <c r="E524" s="23"/>
    </row>
    <row r="525">
      <c r="D525" s="36"/>
      <c r="E525" s="23"/>
    </row>
    <row r="526">
      <c r="D526" s="36"/>
      <c r="E526" s="23"/>
    </row>
    <row r="527">
      <c r="D527" s="36"/>
      <c r="E527" s="23"/>
    </row>
    <row r="528">
      <c r="D528" s="36"/>
      <c r="E528" s="23"/>
    </row>
    <row r="529">
      <c r="D529" s="36"/>
      <c r="E529" s="23"/>
    </row>
    <row r="530">
      <c r="D530" s="36"/>
      <c r="E530" s="23"/>
    </row>
    <row r="531">
      <c r="D531" s="36"/>
      <c r="E531" s="23"/>
    </row>
    <row r="532">
      <c r="D532" s="36"/>
      <c r="E532" s="23"/>
    </row>
    <row r="533">
      <c r="D533" s="36"/>
      <c r="E533" s="23"/>
    </row>
    <row r="534">
      <c r="D534" s="36"/>
      <c r="E534" s="23"/>
    </row>
    <row r="535">
      <c r="D535" s="36"/>
      <c r="E535" s="23"/>
    </row>
    <row r="536">
      <c r="D536" s="36"/>
      <c r="E536" s="23"/>
    </row>
    <row r="537">
      <c r="D537" s="36"/>
      <c r="E537" s="23"/>
    </row>
    <row r="538">
      <c r="D538" s="36"/>
      <c r="E538" s="23"/>
    </row>
    <row r="539">
      <c r="D539" s="36"/>
      <c r="E539" s="23"/>
    </row>
    <row r="540">
      <c r="D540" s="36"/>
      <c r="E540" s="23"/>
    </row>
    <row r="541">
      <c r="D541" s="36"/>
      <c r="E541" s="23"/>
    </row>
    <row r="542">
      <c r="D542" s="36"/>
      <c r="E542" s="23"/>
    </row>
    <row r="543">
      <c r="D543" s="36"/>
      <c r="E543" s="23"/>
    </row>
    <row r="544">
      <c r="D544" s="36"/>
      <c r="E544" s="23"/>
    </row>
    <row r="545">
      <c r="D545" s="36"/>
      <c r="E545" s="23"/>
    </row>
    <row r="546">
      <c r="D546" s="36"/>
      <c r="E546" s="23"/>
    </row>
    <row r="547">
      <c r="D547" s="36"/>
      <c r="E547" s="23"/>
    </row>
    <row r="548">
      <c r="D548" s="36"/>
      <c r="E548" s="23"/>
    </row>
    <row r="549">
      <c r="D549" s="36"/>
      <c r="E549" s="23"/>
    </row>
    <row r="550">
      <c r="D550" s="36"/>
      <c r="E550" s="23"/>
    </row>
    <row r="551">
      <c r="D551" s="36"/>
      <c r="E551" s="23"/>
    </row>
    <row r="552">
      <c r="D552" s="36"/>
      <c r="E552" s="23"/>
    </row>
    <row r="553">
      <c r="D553" s="36"/>
      <c r="E553" s="23"/>
    </row>
    <row r="554">
      <c r="D554" s="36"/>
      <c r="E554" s="23"/>
    </row>
    <row r="555">
      <c r="D555" s="36"/>
      <c r="E555" s="23"/>
    </row>
    <row r="556">
      <c r="D556" s="36"/>
      <c r="E556" s="23"/>
    </row>
    <row r="557">
      <c r="D557" s="36"/>
      <c r="E557" s="23"/>
    </row>
    <row r="558">
      <c r="D558" s="36"/>
      <c r="E558" s="23"/>
    </row>
    <row r="559">
      <c r="D559" s="36"/>
      <c r="E559" s="23"/>
    </row>
    <row r="560">
      <c r="D560" s="36"/>
      <c r="E560" s="23"/>
    </row>
    <row r="561">
      <c r="D561" s="36"/>
      <c r="E561" s="23"/>
    </row>
    <row r="562">
      <c r="D562" s="36"/>
      <c r="E562" s="23"/>
    </row>
    <row r="563">
      <c r="D563" s="36"/>
      <c r="E563" s="23"/>
    </row>
    <row r="564">
      <c r="D564" s="36"/>
      <c r="E564" s="23"/>
    </row>
    <row r="565">
      <c r="D565" s="36"/>
      <c r="E565" s="23"/>
    </row>
    <row r="566">
      <c r="D566" s="36"/>
      <c r="E566" s="23"/>
    </row>
    <row r="567">
      <c r="D567" s="36"/>
      <c r="E567" s="23"/>
    </row>
    <row r="568">
      <c r="D568" s="36"/>
      <c r="E568" s="23"/>
    </row>
    <row r="569">
      <c r="D569" s="36"/>
      <c r="E569" s="23"/>
    </row>
    <row r="570">
      <c r="D570" s="36"/>
      <c r="E570" s="23"/>
    </row>
    <row r="571">
      <c r="D571" s="36"/>
      <c r="E571" s="23"/>
    </row>
    <row r="572">
      <c r="D572" s="36"/>
      <c r="E572" s="23"/>
    </row>
    <row r="573">
      <c r="D573" s="36"/>
      <c r="E573" s="23"/>
    </row>
    <row r="574">
      <c r="D574" s="36"/>
      <c r="E574" s="23"/>
    </row>
    <row r="575">
      <c r="D575" s="36"/>
      <c r="E575" s="23"/>
    </row>
    <row r="576">
      <c r="D576" s="36"/>
      <c r="E576" s="23"/>
    </row>
    <row r="577">
      <c r="D577" s="36"/>
      <c r="E577" s="23"/>
    </row>
    <row r="578">
      <c r="D578" s="36"/>
      <c r="E578" s="23"/>
    </row>
    <row r="579">
      <c r="D579" s="36"/>
      <c r="E579" s="23"/>
    </row>
    <row r="580">
      <c r="D580" s="36"/>
      <c r="E580" s="23"/>
    </row>
    <row r="581">
      <c r="D581" s="36"/>
      <c r="E581" s="23"/>
    </row>
    <row r="582">
      <c r="D582" s="36"/>
      <c r="E582" s="23"/>
    </row>
    <row r="583">
      <c r="D583" s="36"/>
      <c r="E583" s="23"/>
    </row>
    <row r="584">
      <c r="D584" s="36"/>
      <c r="E584" s="23"/>
    </row>
    <row r="585">
      <c r="D585" s="36"/>
      <c r="E585" s="23"/>
    </row>
    <row r="586">
      <c r="D586" s="36"/>
      <c r="E586" s="23"/>
    </row>
    <row r="587">
      <c r="D587" s="36"/>
      <c r="E587" s="23"/>
    </row>
    <row r="588">
      <c r="D588" s="36"/>
      <c r="E588" s="23"/>
    </row>
    <row r="589">
      <c r="D589" s="36"/>
      <c r="E589" s="23"/>
    </row>
    <row r="590">
      <c r="D590" s="36"/>
      <c r="E590" s="23"/>
    </row>
    <row r="591">
      <c r="D591" s="36"/>
      <c r="E591" s="23"/>
    </row>
    <row r="592">
      <c r="D592" s="36"/>
      <c r="E592" s="23"/>
    </row>
    <row r="593">
      <c r="D593" s="36"/>
      <c r="E593" s="23"/>
    </row>
    <row r="594">
      <c r="D594" s="36"/>
      <c r="E594" s="23"/>
    </row>
    <row r="595">
      <c r="D595" s="36"/>
      <c r="E595" s="23"/>
    </row>
    <row r="596">
      <c r="D596" s="36"/>
      <c r="E596" s="23"/>
    </row>
    <row r="597">
      <c r="D597" s="36"/>
      <c r="E597" s="23"/>
    </row>
    <row r="598">
      <c r="D598" s="36"/>
      <c r="E598" s="23"/>
    </row>
    <row r="599">
      <c r="D599" s="36"/>
      <c r="E599" s="23"/>
    </row>
    <row r="600">
      <c r="D600" s="36"/>
      <c r="E600" s="23"/>
    </row>
    <row r="601">
      <c r="D601" s="36"/>
      <c r="E601" s="23"/>
    </row>
    <row r="602">
      <c r="D602" s="36"/>
      <c r="E602" s="23"/>
    </row>
    <row r="603">
      <c r="D603" s="36"/>
      <c r="E603" s="23"/>
    </row>
    <row r="604">
      <c r="D604" s="36"/>
      <c r="E604" s="23"/>
    </row>
    <row r="605">
      <c r="D605" s="36"/>
      <c r="E605" s="23"/>
    </row>
    <row r="606">
      <c r="D606" s="36"/>
      <c r="E606" s="23"/>
    </row>
    <row r="607">
      <c r="D607" s="36"/>
      <c r="E607" s="23"/>
    </row>
    <row r="608">
      <c r="D608" s="36"/>
      <c r="E608" s="23"/>
    </row>
    <row r="609">
      <c r="D609" s="36"/>
      <c r="E609" s="23"/>
    </row>
    <row r="610">
      <c r="D610" s="36"/>
      <c r="E610" s="23"/>
    </row>
    <row r="611">
      <c r="D611" s="36"/>
      <c r="E611" s="23"/>
    </row>
    <row r="612">
      <c r="D612" s="36"/>
      <c r="E612" s="23"/>
    </row>
    <row r="613">
      <c r="D613" s="36"/>
      <c r="E613" s="23"/>
    </row>
    <row r="614">
      <c r="D614" s="36"/>
      <c r="E614" s="23"/>
    </row>
    <row r="615">
      <c r="D615" s="36"/>
      <c r="E615" s="23"/>
    </row>
    <row r="616">
      <c r="D616" s="36"/>
      <c r="E616" s="23"/>
    </row>
    <row r="617">
      <c r="D617" s="36"/>
      <c r="E617" s="23"/>
    </row>
    <row r="618">
      <c r="D618" s="36"/>
      <c r="E618" s="23"/>
    </row>
    <row r="619">
      <c r="D619" s="36"/>
      <c r="E619" s="23"/>
    </row>
    <row r="620">
      <c r="D620" s="36"/>
      <c r="E620" s="23"/>
    </row>
    <row r="621">
      <c r="D621" s="36"/>
      <c r="E621" s="23"/>
    </row>
    <row r="622">
      <c r="D622" s="36"/>
      <c r="E622" s="23"/>
    </row>
    <row r="623">
      <c r="D623" s="36"/>
      <c r="E623" s="23"/>
    </row>
    <row r="624">
      <c r="D624" s="36"/>
      <c r="E624" s="23"/>
    </row>
    <row r="625">
      <c r="D625" s="36"/>
      <c r="E625" s="23"/>
    </row>
    <row r="626">
      <c r="D626" s="36"/>
      <c r="E626" s="23"/>
    </row>
    <row r="627">
      <c r="D627" s="36"/>
      <c r="E627" s="23"/>
    </row>
    <row r="628">
      <c r="D628" s="36"/>
      <c r="E628" s="23"/>
    </row>
    <row r="629">
      <c r="D629" s="36"/>
      <c r="E629" s="23"/>
    </row>
    <row r="630">
      <c r="D630" s="36"/>
      <c r="E630" s="23"/>
    </row>
    <row r="631">
      <c r="D631" s="36"/>
      <c r="E631" s="23"/>
    </row>
    <row r="632">
      <c r="D632" s="36"/>
      <c r="E632" s="23"/>
    </row>
    <row r="633">
      <c r="D633" s="36"/>
      <c r="E633" s="23"/>
    </row>
    <row r="634">
      <c r="D634" s="36"/>
      <c r="E634" s="23"/>
    </row>
    <row r="635">
      <c r="D635" s="36"/>
      <c r="E635" s="23"/>
    </row>
    <row r="636">
      <c r="D636" s="36"/>
      <c r="E636" s="23"/>
    </row>
    <row r="637">
      <c r="D637" s="36"/>
      <c r="E637" s="23"/>
    </row>
    <row r="638">
      <c r="D638" s="36"/>
      <c r="E638" s="23"/>
    </row>
    <row r="639">
      <c r="D639" s="36"/>
      <c r="E639" s="23"/>
    </row>
    <row r="640">
      <c r="D640" s="36"/>
      <c r="E640" s="23"/>
    </row>
    <row r="641">
      <c r="D641" s="36"/>
      <c r="E641" s="23"/>
    </row>
    <row r="642">
      <c r="D642" s="36"/>
      <c r="E642" s="23"/>
    </row>
    <row r="643">
      <c r="D643" s="36"/>
      <c r="E643" s="23"/>
    </row>
    <row r="644">
      <c r="D644" s="36"/>
      <c r="E644" s="23"/>
    </row>
    <row r="645">
      <c r="D645" s="36"/>
      <c r="E645" s="23"/>
    </row>
    <row r="646">
      <c r="D646" s="36"/>
      <c r="E646" s="23"/>
    </row>
    <row r="647">
      <c r="D647" s="36"/>
      <c r="E647" s="23"/>
    </row>
    <row r="648">
      <c r="D648" s="36"/>
      <c r="E648" s="23"/>
    </row>
    <row r="649">
      <c r="D649" s="36"/>
      <c r="E649" s="23"/>
    </row>
    <row r="650">
      <c r="D650" s="36"/>
      <c r="E650" s="23"/>
    </row>
    <row r="651">
      <c r="D651" s="36"/>
      <c r="E651" s="23"/>
    </row>
    <row r="652">
      <c r="D652" s="36"/>
      <c r="E652" s="23"/>
    </row>
    <row r="653">
      <c r="D653" s="36"/>
      <c r="E653" s="23"/>
    </row>
    <row r="654">
      <c r="D654" s="36"/>
      <c r="E654" s="23"/>
    </row>
    <row r="655">
      <c r="D655" s="36"/>
      <c r="E655" s="23"/>
    </row>
    <row r="656">
      <c r="D656" s="36"/>
      <c r="E656" s="23"/>
    </row>
    <row r="657">
      <c r="D657" s="36"/>
      <c r="E657" s="23"/>
    </row>
    <row r="658">
      <c r="D658" s="36"/>
      <c r="E658" s="23"/>
    </row>
    <row r="659">
      <c r="D659" s="36"/>
      <c r="E659" s="23"/>
    </row>
    <row r="660">
      <c r="D660" s="36"/>
      <c r="E660" s="23"/>
    </row>
    <row r="661">
      <c r="D661" s="36"/>
      <c r="E661" s="23"/>
    </row>
    <row r="662">
      <c r="D662" s="36"/>
      <c r="E662" s="23"/>
    </row>
    <row r="663">
      <c r="D663" s="36"/>
      <c r="E663" s="23"/>
    </row>
    <row r="664">
      <c r="D664" s="36"/>
      <c r="E664" s="23"/>
    </row>
    <row r="665">
      <c r="D665" s="36"/>
      <c r="E665" s="23"/>
    </row>
    <row r="666">
      <c r="D666" s="36"/>
      <c r="E666" s="23"/>
    </row>
    <row r="667">
      <c r="D667" s="36"/>
      <c r="E667" s="23"/>
    </row>
    <row r="668">
      <c r="D668" s="36"/>
      <c r="E668" s="23"/>
    </row>
    <row r="669">
      <c r="D669" s="36"/>
      <c r="E669" s="23"/>
    </row>
    <row r="670">
      <c r="D670" s="36"/>
      <c r="E670" s="23"/>
    </row>
    <row r="671">
      <c r="D671" s="36"/>
      <c r="E671" s="23"/>
    </row>
    <row r="672">
      <c r="D672" s="36"/>
      <c r="E672" s="23"/>
    </row>
    <row r="673">
      <c r="D673" s="36"/>
      <c r="E673" s="23"/>
    </row>
    <row r="674">
      <c r="D674" s="36"/>
      <c r="E674" s="23"/>
    </row>
    <row r="675">
      <c r="D675" s="36"/>
      <c r="E675" s="23"/>
    </row>
    <row r="676">
      <c r="D676" s="36"/>
      <c r="E676" s="23"/>
    </row>
    <row r="677">
      <c r="D677" s="36"/>
      <c r="E677" s="23"/>
    </row>
    <row r="678">
      <c r="D678" s="36"/>
      <c r="E678" s="23"/>
    </row>
    <row r="679">
      <c r="D679" s="36"/>
      <c r="E679" s="23"/>
    </row>
    <row r="680">
      <c r="D680" s="36"/>
      <c r="E680" s="23"/>
    </row>
    <row r="681">
      <c r="D681" s="36"/>
      <c r="E681" s="23"/>
    </row>
    <row r="682">
      <c r="D682" s="36"/>
      <c r="E682" s="23"/>
    </row>
    <row r="683">
      <c r="D683" s="36"/>
      <c r="E683" s="23"/>
    </row>
    <row r="684">
      <c r="D684" s="36"/>
      <c r="E684" s="23"/>
    </row>
    <row r="685">
      <c r="D685" s="36"/>
      <c r="E685" s="23"/>
    </row>
    <row r="686">
      <c r="D686" s="36"/>
      <c r="E686" s="23"/>
    </row>
    <row r="687">
      <c r="D687" s="36"/>
      <c r="E687" s="23"/>
    </row>
    <row r="688">
      <c r="D688" s="36"/>
      <c r="E688" s="23"/>
    </row>
    <row r="689">
      <c r="D689" s="36"/>
      <c r="E689" s="23"/>
    </row>
    <row r="690">
      <c r="D690" s="36"/>
      <c r="E690" s="23"/>
    </row>
    <row r="691">
      <c r="D691" s="36"/>
      <c r="E691" s="23"/>
    </row>
    <row r="692">
      <c r="D692" s="36"/>
      <c r="E692" s="23"/>
    </row>
    <row r="693">
      <c r="D693" s="36"/>
      <c r="E693" s="23"/>
    </row>
    <row r="694">
      <c r="D694" s="36"/>
      <c r="E694" s="23"/>
    </row>
    <row r="695">
      <c r="D695" s="36"/>
      <c r="E695" s="23"/>
    </row>
    <row r="696">
      <c r="D696" s="36"/>
      <c r="E696" s="23"/>
    </row>
    <row r="697">
      <c r="D697" s="36"/>
      <c r="E697" s="23"/>
    </row>
    <row r="698">
      <c r="D698" s="36"/>
      <c r="E698" s="23"/>
    </row>
    <row r="699">
      <c r="D699" s="36"/>
      <c r="E699" s="23"/>
    </row>
    <row r="700">
      <c r="D700" s="36"/>
      <c r="E700" s="23"/>
    </row>
    <row r="701">
      <c r="D701" s="36"/>
      <c r="E701" s="23"/>
    </row>
    <row r="702">
      <c r="D702" s="36"/>
      <c r="E702" s="23"/>
    </row>
    <row r="703">
      <c r="D703" s="36"/>
      <c r="E703" s="23"/>
    </row>
    <row r="704">
      <c r="D704" s="36"/>
      <c r="E704" s="23"/>
    </row>
    <row r="705">
      <c r="D705" s="36"/>
      <c r="E705" s="23"/>
    </row>
    <row r="706">
      <c r="D706" s="36"/>
      <c r="E706" s="23"/>
    </row>
    <row r="707">
      <c r="D707" s="36"/>
      <c r="E707" s="23"/>
    </row>
    <row r="708">
      <c r="D708" s="36"/>
      <c r="E708" s="23"/>
    </row>
    <row r="709">
      <c r="D709" s="36"/>
      <c r="E709" s="23"/>
    </row>
    <row r="710">
      <c r="D710" s="36"/>
      <c r="E710" s="23"/>
    </row>
    <row r="711">
      <c r="D711" s="36"/>
      <c r="E711" s="23"/>
    </row>
    <row r="712">
      <c r="D712" s="36"/>
      <c r="E712" s="23"/>
    </row>
    <row r="713">
      <c r="D713" s="36"/>
      <c r="E713" s="23"/>
    </row>
    <row r="714">
      <c r="D714" s="36"/>
      <c r="E714" s="23"/>
    </row>
    <row r="715">
      <c r="D715" s="36"/>
      <c r="E715" s="23"/>
    </row>
    <row r="716">
      <c r="D716" s="36"/>
      <c r="E716" s="23"/>
    </row>
    <row r="717">
      <c r="D717" s="36"/>
      <c r="E717" s="23"/>
    </row>
    <row r="718">
      <c r="D718" s="36"/>
      <c r="E718" s="23"/>
    </row>
    <row r="719">
      <c r="D719" s="36"/>
      <c r="E719" s="23"/>
    </row>
    <row r="720">
      <c r="D720" s="36"/>
      <c r="E720" s="23"/>
    </row>
    <row r="721">
      <c r="D721" s="36"/>
      <c r="E721" s="23"/>
    </row>
    <row r="722">
      <c r="D722" s="36"/>
      <c r="E722" s="23"/>
    </row>
    <row r="723">
      <c r="D723" s="36"/>
      <c r="E723" s="23"/>
    </row>
    <row r="724">
      <c r="D724" s="36"/>
      <c r="E724" s="23"/>
    </row>
    <row r="725">
      <c r="D725" s="36"/>
      <c r="E725" s="23"/>
    </row>
    <row r="726">
      <c r="D726" s="36"/>
      <c r="E726" s="23"/>
    </row>
    <row r="727">
      <c r="D727" s="36"/>
      <c r="E727" s="23"/>
    </row>
    <row r="728">
      <c r="D728" s="36"/>
      <c r="E728" s="23"/>
    </row>
    <row r="729">
      <c r="D729" s="36"/>
      <c r="E729" s="23"/>
    </row>
    <row r="730">
      <c r="D730" s="36"/>
      <c r="E730" s="23"/>
    </row>
    <row r="731">
      <c r="D731" s="36"/>
      <c r="E731" s="23"/>
    </row>
    <row r="732">
      <c r="D732" s="36"/>
      <c r="E732" s="23"/>
    </row>
    <row r="733">
      <c r="D733" s="36"/>
      <c r="E733" s="23"/>
    </row>
    <row r="734">
      <c r="D734" s="36"/>
      <c r="E734" s="23"/>
    </row>
    <row r="735">
      <c r="D735" s="36"/>
      <c r="E735" s="23"/>
    </row>
    <row r="736">
      <c r="D736" s="36"/>
      <c r="E736" s="23"/>
    </row>
    <row r="737">
      <c r="D737" s="36"/>
      <c r="E737" s="23"/>
    </row>
    <row r="738">
      <c r="D738" s="36"/>
      <c r="E738" s="23"/>
    </row>
    <row r="739">
      <c r="D739" s="36"/>
      <c r="E739" s="23"/>
    </row>
    <row r="740">
      <c r="D740" s="36"/>
      <c r="E740" s="23"/>
    </row>
    <row r="741">
      <c r="D741" s="36"/>
      <c r="E741" s="23"/>
    </row>
    <row r="742">
      <c r="D742" s="36"/>
      <c r="E742" s="23"/>
    </row>
    <row r="743">
      <c r="D743" s="36"/>
      <c r="E743" s="23"/>
    </row>
    <row r="744">
      <c r="D744" s="36"/>
      <c r="E744" s="23"/>
    </row>
    <row r="745">
      <c r="D745" s="36"/>
      <c r="E745" s="23"/>
    </row>
    <row r="746">
      <c r="D746" s="36"/>
      <c r="E746" s="23"/>
    </row>
    <row r="747">
      <c r="D747" s="36"/>
      <c r="E747" s="23"/>
    </row>
    <row r="748">
      <c r="D748" s="36"/>
      <c r="E748" s="23"/>
    </row>
    <row r="749">
      <c r="D749" s="36"/>
      <c r="E749" s="23"/>
    </row>
    <row r="750">
      <c r="D750" s="36"/>
      <c r="E750" s="23"/>
    </row>
    <row r="751">
      <c r="D751" s="36"/>
      <c r="E751" s="23"/>
    </row>
    <row r="752">
      <c r="D752" s="36"/>
      <c r="E752" s="23"/>
    </row>
    <row r="753">
      <c r="D753" s="36"/>
      <c r="E753" s="23"/>
    </row>
    <row r="754">
      <c r="D754" s="36"/>
      <c r="E754" s="23"/>
    </row>
    <row r="755">
      <c r="D755" s="36"/>
      <c r="E755" s="23"/>
    </row>
    <row r="756">
      <c r="D756" s="36"/>
      <c r="E756" s="23"/>
    </row>
    <row r="757">
      <c r="D757" s="36"/>
      <c r="E757" s="23"/>
    </row>
    <row r="758">
      <c r="D758" s="36"/>
      <c r="E758" s="23"/>
    </row>
    <row r="759">
      <c r="D759" s="36"/>
      <c r="E759" s="23"/>
    </row>
    <row r="760">
      <c r="D760" s="36"/>
      <c r="E760" s="23"/>
    </row>
    <row r="761">
      <c r="D761" s="36"/>
      <c r="E761" s="23"/>
    </row>
    <row r="762">
      <c r="D762" s="36"/>
      <c r="E762" s="23"/>
    </row>
    <row r="763">
      <c r="D763" s="36"/>
      <c r="E763" s="23"/>
    </row>
    <row r="764">
      <c r="D764" s="36"/>
      <c r="E764" s="23"/>
    </row>
    <row r="765">
      <c r="D765" s="36"/>
      <c r="E765" s="23"/>
    </row>
    <row r="766">
      <c r="D766" s="36"/>
      <c r="E766" s="23"/>
    </row>
    <row r="767">
      <c r="D767" s="36"/>
      <c r="E767" s="23"/>
    </row>
    <row r="768">
      <c r="D768" s="36"/>
      <c r="E768" s="23"/>
    </row>
    <row r="769">
      <c r="D769" s="36"/>
      <c r="E769" s="23"/>
    </row>
    <row r="770">
      <c r="D770" s="36"/>
      <c r="E770" s="23"/>
    </row>
    <row r="771">
      <c r="D771" s="36"/>
      <c r="E771" s="23"/>
    </row>
    <row r="772">
      <c r="D772" s="36"/>
      <c r="E772" s="23"/>
    </row>
    <row r="773">
      <c r="D773" s="36"/>
      <c r="E773" s="23"/>
    </row>
    <row r="774">
      <c r="D774" s="36"/>
      <c r="E774" s="23"/>
    </row>
    <row r="775">
      <c r="D775" s="36"/>
      <c r="E775" s="23"/>
    </row>
    <row r="776">
      <c r="D776" s="36"/>
      <c r="E776" s="23"/>
    </row>
    <row r="777">
      <c r="D777" s="36"/>
      <c r="E777" s="23"/>
    </row>
    <row r="778">
      <c r="D778" s="36"/>
      <c r="E778" s="23"/>
    </row>
    <row r="779">
      <c r="D779" s="36"/>
      <c r="E779" s="23"/>
    </row>
    <row r="780">
      <c r="D780" s="36"/>
      <c r="E780" s="23"/>
    </row>
    <row r="781">
      <c r="D781" s="36"/>
      <c r="E781" s="23"/>
    </row>
    <row r="782">
      <c r="D782" s="36"/>
      <c r="E782" s="23"/>
    </row>
    <row r="783">
      <c r="D783" s="36"/>
      <c r="E783" s="23"/>
    </row>
    <row r="784">
      <c r="D784" s="36"/>
      <c r="E784" s="23"/>
    </row>
    <row r="785">
      <c r="D785" s="36"/>
      <c r="E785" s="23"/>
    </row>
    <row r="786">
      <c r="D786" s="36"/>
      <c r="E786" s="23"/>
    </row>
    <row r="787">
      <c r="D787" s="36"/>
      <c r="E787" s="23"/>
    </row>
    <row r="788">
      <c r="D788" s="36"/>
      <c r="E788" s="23"/>
    </row>
    <row r="789">
      <c r="D789" s="36"/>
      <c r="E789" s="23"/>
    </row>
    <row r="790">
      <c r="D790" s="36"/>
      <c r="E790" s="23"/>
    </row>
    <row r="791">
      <c r="D791" s="36"/>
      <c r="E791" s="23"/>
    </row>
    <row r="792">
      <c r="D792" s="36"/>
      <c r="E792" s="23"/>
    </row>
    <row r="793">
      <c r="D793" s="36"/>
      <c r="E793" s="23"/>
    </row>
    <row r="794">
      <c r="D794" s="36"/>
      <c r="E794" s="23"/>
    </row>
    <row r="795">
      <c r="D795" s="36"/>
      <c r="E795" s="23"/>
    </row>
    <row r="796">
      <c r="D796" s="36"/>
      <c r="E796" s="23"/>
    </row>
    <row r="797">
      <c r="D797" s="36"/>
      <c r="E797" s="23"/>
    </row>
    <row r="798">
      <c r="D798" s="36"/>
      <c r="E798" s="23"/>
    </row>
    <row r="799">
      <c r="D799" s="36"/>
      <c r="E799" s="23"/>
    </row>
    <row r="800">
      <c r="D800" s="36"/>
      <c r="E800" s="23"/>
    </row>
    <row r="801">
      <c r="D801" s="36"/>
      <c r="E801" s="23"/>
    </row>
    <row r="802">
      <c r="D802" s="36"/>
      <c r="E802" s="23"/>
    </row>
    <row r="803">
      <c r="D803" s="36"/>
      <c r="E803" s="23"/>
    </row>
    <row r="804">
      <c r="D804" s="36"/>
      <c r="E804" s="23"/>
    </row>
    <row r="805">
      <c r="D805" s="36"/>
      <c r="E805" s="23"/>
    </row>
    <row r="806">
      <c r="D806" s="36"/>
      <c r="E806" s="23"/>
    </row>
    <row r="807">
      <c r="D807" s="36"/>
      <c r="E807" s="23"/>
    </row>
    <row r="808">
      <c r="D808" s="36"/>
      <c r="E808" s="23"/>
    </row>
    <row r="809">
      <c r="D809" s="36"/>
      <c r="E809" s="23"/>
    </row>
    <row r="810">
      <c r="D810" s="36"/>
      <c r="E810" s="23"/>
    </row>
    <row r="811">
      <c r="D811" s="36"/>
      <c r="E811" s="23"/>
    </row>
    <row r="812">
      <c r="D812" s="36"/>
      <c r="E812" s="23"/>
    </row>
    <row r="813">
      <c r="D813" s="36"/>
      <c r="E813" s="23"/>
    </row>
    <row r="814">
      <c r="D814" s="36"/>
      <c r="E814" s="23"/>
    </row>
    <row r="815">
      <c r="D815" s="36"/>
      <c r="E815" s="23"/>
    </row>
    <row r="816">
      <c r="D816" s="36"/>
      <c r="E816" s="23"/>
    </row>
    <row r="817">
      <c r="D817" s="36"/>
      <c r="E817" s="23"/>
    </row>
    <row r="818">
      <c r="D818" s="36"/>
      <c r="E818" s="23"/>
    </row>
    <row r="819">
      <c r="D819" s="36"/>
      <c r="E819" s="23"/>
    </row>
    <row r="820">
      <c r="D820" s="36"/>
      <c r="E820" s="23"/>
    </row>
    <row r="821">
      <c r="D821" s="36"/>
      <c r="E821" s="23"/>
    </row>
    <row r="822">
      <c r="D822" s="36"/>
      <c r="E822" s="23"/>
    </row>
    <row r="823">
      <c r="D823" s="36"/>
      <c r="E823" s="23"/>
    </row>
    <row r="824">
      <c r="D824" s="36"/>
      <c r="E824" s="23"/>
    </row>
    <row r="825">
      <c r="D825" s="36"/>
      <c r="E825" s="23"/>
    </row>
    <row r="826">
      <c r="D826" s="36"/>
      <c r="E826" s="23"/>
    </row>
    <row r="827">
      <c r="D827" s="36"/>
      <c r="E827" s="23"/>
    </row>
    <row r="828">
      <c r="D828" s="36"/>
      <c r="E828" s="23"/>
    </row>
    <row r="829">
      <c r="D829" s="36"/>
      <c r="E829" s="23"/>
    </row>
    <row r="830">
      <c r="D830" s="36"/>
      <c r="E830" s="23"/>
    </row>
    <row r="831">
      <c r="D831" s="36"/>
      <c r="E831" s="23"/>
    </row>
    <row r="832">
      <c r="D832" s="36"/>
      <c r="E832" s="23"/>
    </row>
    <row r="833">
      <c r="D833" s="36"/>
      <c r="E833" s="23"/>
    </row>
    <row r="834">
      <c r="D834" s="36"/>
      <c r="E834" s="23"/>
    </row>
    <row r="835">
      <c r="D835" s="36"/>
      <c r="E835" s="23"/>
    </row>
    <row r="836">
      <c r="D836" s="36"/>
      <c r="E836" s="23"/>
    </row>
    <row r="837">
      <c r="D837" s="36"/>
      <c r="E837" s="23"/>
    </row>
    <row r="838">
      <c r="D838" s="36"/>
      <c r="E838" s="23"/>
    </row>
    <row r="839">
      <c r="D839" s="36"/>
      <c r="E839" s="23"/>
    </row>
    <row r="840">
      <c r="D840" s="36"/>
      <c r="E840" s="23"/>
    </row>
    <row r="841">
      <c r="D841" s="36"/>
      <c r="E841" s="23"/>
    </row>
    <row r="842">
      <c r="D842" s="36"/>
      <c r="E842" s="23"/>
    </row>
    <row r="843">
      <c r="D843" s="36"/>
      <c r="E843" s="23"/>
    </row>
    <row r="844">
      <c r="D844" s="36"/>
      <c r="E844" s="23"/>
    </row>
    <row r="845">
      <c r="D845" s="36"/>
      <c r="E845" s="23"/>
    </row>
    <row r="846">
      <c r="D846" s="36"/>
      <c r="E846" s="23"/>
    </row>
    <row r="847">
      <c r="D847" s="36"/>
      <c r="E847" s="23"/>
    </row>
    <row r="848">
      <c r="D848" s="36"/>
      <c r="E848" s="23"/>
    </row>
    <row r="849">
      <c r="D849" s="36"/>
      <c r="E849" s="23"/>
    </row>
    <row r="850">
      <c r="D850" s="36"/>
      <c r="E850" s="23"/>
    </row>
    <row r="851">
      <c r="D851" s="36"/>
      <c r="E851" s="23"/>
    </row>
    <row r="852">
      <c r="D852" s="36"/>
      <c r="E852" s="23"/>
    </row>
    <row r="853">
      <c r="D853" s="36"/>
      <c r="E853" s="23"/>
    </row>
    <row r="854">
      <c r="D854" s="36"/>
      <c r="E854" s="23"/>
    </row>
    <row r="855">
      <c r="D855" s="36"/>
      <c r="E855" s="23"/>
    </row>
    <row r="856">
      <c r="D856" s="36"/>
      <c r="E856" s="23"/>
    </row>
    <row r="857">
      <c r="D857" s="36"/>
      <c r="E857" s="23"/>
    </row>
    <row r="858">
      <c r="D858" s="36"/>
      <c r="E858" s="23"/>
    </row>
    <row r="859">
      <c r="D859" s="36"/>
      <c r="E859" s="23"/>
    </row>
    <row r="860">
      <c r="D860" s="36"/>
      <c r="E860" s="23"/>
    </row>
    <row r="861">
      <c r="D861" s="36"/>
      <c r="E861" s="23"/>
    </row>
    <row r="862">
      <c r="D862" s="36"/>
      <c r="E862" s="23"/>
    </row>
    <row r="863">
      <c r="D863" s="36"/>
      <c r="E863" s="23"/>
    </row>
    <row r="864">
      <c r="D864" s="36"/>
      <c r="E864" s="23"/>
    </row>
    <row r="865">
      <c r="D865" s="36"/>
      <c r="E865" s="23"/>
    </row>
    <row r="866">
      <c r="D866" s="36"/>
      <c r="E866" s="23"/>
    </row>
    <row r="867">
      <c r="D867" s="36"/>
      <c r="E867" s="23"/>
    </row>
    <row r="868">
      <c r="D868" s="36"/>
      <c r="E868" s="23"/>
    </row>
    <row r="869">
      <c r="D869" s="36"/>
      <c r="E869" s="23"/>
    </row>
    <row r="870">
      <c r="D870" s="36"/>
      <c r="E870" s="23"/>
    </row>
    <row r="871">
      <c r="D871" s="36"/>
      <c r="E871" s="23"/>
    </row>
    <row r="872">
      <c r="D872" s="36"/>
      <c r="E872" s="23"/>
    </row>
    <row r="873">
      <c r="D873" s="36"/>
      <c r="E873" s="23"/>
    </row>
    <row r="874">
      <c r="D874" s="36"/>
      <c r="E874" s="23"/>
    </row>
    <row r="875">
      <c r="D875" s="36"/>
      <c r="E875" s="23"/>
    </row>
    <row r="876">
      <c r="D876" s="36"/>
      <c r="E876" s="23"/>
    </row>
    <row r="877">
      <c r="D877" s="36"/>
      <c r="E877" s="23"/>
    </row>
    <row r="878">
      <c r="D878" s="36"/>
      <c r="E878" s="23"/>
    </row>
    <row r="879">
      <c r="D879" s="36"/>
      <c r="E879" s="23"/>
    </row>
    <row r="880">
      <c r="D880" s="36"/>
      <c r="E880" s="23"/>
    </row>
    <row r="881">
      <c r="D881" s="36"/>
      <c r="E881" s="23"/>
    </row>
    <row r="882">
      <c r="D882" s="36"/>
      <c r="E882" s="23"/>
    </row>
    <row r="883">
      <c r="D883" s="36"/>
      <c r="E883" s="23"/>
    </row>
    <row r="884">
      <c r="D884" s="36"/>
      <c r="E884" s="23"/>
    </row>
    <row r="885">
      <c r="D885" s="36"/>
      <c r="E885" s="23"/>
    </row>
    <row r="886">
      <c r="D886" s="36"/>
      <c r="E886" s="23"/>
    </row>
    <row r="887">
      <c r="D887" s="36"/>
      <c r="E887" s="23"/>
    </row>
    <row r="888">
      <c r="D888" s="36"/>
      <c r="E888" s="23"/>
    </row>
    <row r="889">
      <c r="D889" s="36"/>
      <c r="E889" s="23"/>
    </row>
    <row r="890">
      <c r="D890" s="36"/>
      <c r="E890" s="23"/>
    </row>
    <row r="891">
      <c r="D891" s="36"/>
      <c r="E891" s="23"/>
    </row>
    <row r="892">
      <c r="D892" s="36"/>
      <c r="E892" s="23"/>
    </row>
    <row r="893">
      <c r="D893" s="36"/>
      <c r="E893" s="23"/>
    </row>
    <row r="894">
      <c r="D894" s="36"/>
      <c r="E894" s="23"/>
    </row>
    <row r="895">
      <c r="D895" s="36"/>
      <c r="E895" s="23"/>
    </row>
    <row r="896">
      <c r="D896" s="36"/>
      <c r="E896" s="23"/>
    </row>
    <row r="897">
      <c r="D897" s="36"/>
      <c r="E897" s="23"/>
    </row>
    <row r="898">
      <c r="D898" s="36"/>
      <c r="E898" s="23"/>
    </row>
    <row r="899">
      <c r="D899" s="36"/>
      <c r="E899" s="23"/>
    </row>
    <row r="900">
      <c r="D900" s="36"/>
      <c r="E900" s="23"/>
    </row>
    <row r="901">
      <c r="D901" s="36"/>
      <c r="E901" s="23"/>
    </row>
    <row r="902">
      <c r="D902" s="36"/>
      <c r="E902" s="23"/>
    </row>
    <row r="903">
      <c r="D903" s="36"/>
      <c r="E903" s="23"/>
    </row>
    <row r="904">
      <c r="D904" s="36"/>
      <c r="E904" s="23"/>
    </row>
    <row r="905">
      <c r="D905" s="36"/>
      <c r="E905" s="23"/>
    </row>
    <row r="906">
      <c r="D906" s="36"/>
      <c r="E906" s="23"/>
    </row>
    <row r="907">
      <c r="D907" s="36"/>
      <c r="E907" s="23"/>
    </row>
    <row r="908">
      <c r="D908" s="36"/>
      <c r="E908" s="23"/>
    </row>
    <row r="909">
      <c r="D909" s="36"/>
      <c r="E909" s="23"/>
    </row>
    <row r="910">
      <c r="D910" s="36"/>
      <c r="E910" s="23"/>
    </row>
    <row r="911">
      <c r="D911" s="36"/>
      <c r="E911" s="23"/>
    </row>
    <row r="912">
      <c r="D912" s="36"/>
      <c r="E912" s="23"/>
    </row>
    <row r="913">
      <c r="D913" s="36"/>
      <c r="E913" s="23"/>
    </row>
    <row r="914">
      <c r="D914" s="36"/>
      <c r="E914" s="23"/>
    </row>
    <row r="915">
      <c r="D915" s="36"/>
      <c r="E915" s="23"/>
    </row>
    <row r="916">
      <c r="D916" s="36"/>
      <c r="E916" s="23"/>
    </row>
    <row r="917">
      <c r="D917" s="36"/>
      <c r="E917" s="23"/>
    </row>
    <row r="918">
      <c r="D918" s="36"/>
      <c r="E918" s="23"/>
    </row>
    <row r="919">
      <c r="D919" s="36"/>
      <c r="E919" s="23"/>
    </row>
    <row r="920">
      <c r="D920" s="36"/>
      <c r="E920" s="23"/>
    </row>
    <row r="921">
      <c r="D921" s="36"/>
      <c r="E921" s="23"/>
    </row>
    <row r="922">
      <c r="D922" s="36"/>
      <c r="E922" s="23"/>
    </row>
    <row r="923">
      <c r="D923" s="36"/>
      <c r="E923" s="23"/>
    </row>
    <row r="924">
      <c r="D924" s="36"/>
      <c r="E924" s="23"/>
    </row>
    <row r="925">
      <c r="D925" s="36"/>
      <c r="E925" s="23"/>
    </row>
    <row r="926">
      <c r="D926" s="36"/>
      <c r="E926" s="23"/>
    </row>
    <row r="927">
      <c r="D927" s="36"/>
      <c r="E927" s="23"/>
    </row>
    <row r="928">
      <c r="D928" s="36"/>
      <c r="E928" s="23"/>
    </row>
    <row r="929">
      <c r="D929" s="36"/>
      <c r="E929" s="23"/>
    </row>
    <row r="930">
      <c r="D930" s="36"/>
      <c r="E930" s="23"/>
    </row>
    <row r="931">
      <c r="D931" s="36"/>
      <c r="E931" s="23"/>
    </row>
    <row r="932">
      <c r="D932" s="36"/>
      <c r="E932" s="23"/>
    </row>
    <row r="933">
      <c r="D933" s="36"/>
      <c r="E933" s="23"/>
    </row>
    <row r="934">
      <c r="D934" s="36"/>
      <c r="E934" s="23"/>
    </row>
    <row r="935">
      <c r="D935" s="36"/>
      <c r="E935" s="23"/>
    </row>
    <row r="936">
      <c r="D936" s="36"/>
      <c r="E936" s="23"/>
    </row>
    <row r="937">
      <c r="D937" s="36"/>
      <c r="E937" s="23"/>
    </row>
    <row r="938">
      <c r="D938" s="36"/>
      <c r="E938" s="23"/>
    </row>
    <row r="939">
      <c r="D939" s="36"/>
      <c r="E939" s="23"/>
    </row>
    <row r="940">
      <c r="D940" s="36"/>
      <c r="E940" s="23"/>
    </row>
    <row r="941">
      <c r="D941" s="36"/>
      <c r="E941" s="23"/>
    </row>
    <row r="942">
      <c r="D942" s="36"/>
      <c r="E942" s="23"/>
    </row>
    <row r="943">
      <c r="D943" s="36"/>
      <c r="E943" s="23"/>
    </row>
    <row r="944">
      <c r="D944" s="36"/>
      <c r="E944" s="23"/>
    </row>
    <row r="945">
      <c r="D945" s="36"/>
      <c r="E945" s="23"/>
    </row>
    <row r="946">
      <c r="D946" s="36"/>
      <c r="E946" s="23"/>
    </row>
    <row r="947">
      <c r="D947" s="36"/>
      <c r="E947" s="23"/>
    </row>
    <row r="948">
      <c r="D948" s="36"/>
      <c r="E948" s="23"/>
    </row>
    <row r="949">
      <c r="D949" s="36"/>
      <c r="E949" s="23"/>
    </row>
    <row r="950">
      <c r="D950" s="36"/>
      <c r="E950" s="23"/>
    </row>
    <row r="951">
      <c r="D951" s="36"/>
      <c r="E951" s="23"/>
    </row>
    <row r="952">
      <c r="D952" s="36"/>
      <c r="E952" s="23"/>
    </row>
    <row r="953">
      <c r="D953" s="36"/>
      <c r="E953" s="23"/>
    </row>
    <row r="954">
      <c r="D954" s="36"/>
      <c r="E954" s="23"/>
    </row>
    <row r="955">
      <c r="D955" s="36"/>
      <c r="E955" s="23"/>
    </row>
    <row r="956">
      <c r="D956" s="36"/>
      <c r="E956" s="23"/>
    </row>
    <row r="957">
      <c r="D957" s="36"/>
      <c r="E957" s="23"/>
    </row>
    <row r="958">
      <c r="D958" s="36"/>
      <c r="E958" s="23"/>
    </row>
    <row r="959">
      <c r="D959" s="36"/>
      <c r="E959" s="23"/>
    </row>
    <row r="960">
      <c r="D960" s="36"/>
      <c r="E960" s="23"/>
    </row>
    <row r="961">
      <c r="D961" s="36"/>
      <c r="E961" s="23"/>
    </row>
    <row r="962">
      <c r="D962" s="36"/>
      <c r="E962" s="23"/>
    </row>
    <row r="963">
      <c r="D963" s="36"/>
      <c r="E963" s="23"/>
    </row>
    <row r="964">
      <c r="D964" s="36"/>
      <c r="E964" s="23"/>
    </row>
    <row r="965">
      <c r="D965" s="36"/>
      <c r="E965" s="23"/>
    </row>
    <row r="966">
      <c r="D966" s="36"/>
      <c r="E966" s="23"/>
    </row>
    <row r="967">
      <c r="D967" s="36"/>
      <c r="E967" s="23"/>
    </row>
    <row r="968">
      <c r="D968" s="36"/>
      <c r="E968" s="23"/>
    </row>
    <row r="969">
      <c r="D969" s="36"/>
      <c r="E969" s="23"/>
    </row>
    <row r="970">
      <c r="D970" s="36"/>
      <c r="E970" s="23"/>
    </row>
    <row r="971">
      <c r="D971" s="36"/>
      <c r="E971" s="23"/>
    </row>
    <row r="972">
      <c r="D972" s="36"/>
      <c r="E972" s="23"/>
    </row>
    <row r="973">
      <c r="D973" s="36"/>
      <c r="E973" s="23"/>
    </row>
    <row r="974">
      <c r="D974" s="36"/>
      <c r="E974" s="23"/>
    </row>
    <row r="975">
      <c r="D975" s="36"/>
      <c r="E975" s="23"/>
    </row>
    <row r="976">
      <c r="D976" s="36"/>
      <c r="E976" s="23"/>
    </row>
    <row r="977">
      <c r="D977" s="36"/>
      <c r="E977" s="23"/>
    </row>
    <row r="978">
      <c r="D978" s="36"/>
      <c r="E978" s="23"/>
    </row>
    <row r="979">
      <c r="D979" s="36"/>
      <c r="E979" s="23"/>
    </row>
    <row r="980">
      <c r="D980" s="36"/>
      <c r="E980" s="23"/>
    </row>
    <row r="981">
      <c r="D981" s="36"/>
      <c r="E981" s="23"/>
    </row>
    <row r="982">
      <c r="D982" s="36"/>
      <c r="E982" s="23"/>
    </row>
    <row r="983">
      <c r="D983" s="36"/>
      <c r="E983" s="23"/>
    </row>
    <row r="984">
      <c r="D984" s="36"/>
      <c r="E984" s="23"/>
    </row>
    <row r="985">
      <c r="D985" s="36"/>
      <c r="E985" s="23"/>
    </row>
    <row r="986">
      <c r="D986" s="36"/>
      <c r="E986" s="23"/>
    </row>
    <row r="987">
      <c r="D987" s="36"/>
      <c r="E987" s="23"/>
    </row>
    <row r="988">
      <c r="D988" s="36"/>
      <c r="E988" s="23"/>
    </row>
    <row r="989">
      <c r="D989" s="36"/>
      <c r="E989" s="23"/>
    </row>
    <row r="990">
      <c r="D990" s="36"/>
      <c r="E990" s="23"/>
    </row>
    <row r="991">
      <c r="D991" s="36"/>
      <c r="E991" s="23"/>
    </row>
    <row r="992">
      <c r="D992" s="36"/>
      <c r="E992" s="23"/>
    </row>
    <row r="993">
      <c r="D993" s="36"/>
      <c r="E993" s="23"/>
    </row>
    <row r="994">
      <c r="D994" s="36"/>
      <c r="E994" s="23"/>
    </row>
    <row r="995">
      <c r="D995" s="36"/>
      <c r="E995" s="23"/>
    </row>
    <row r="996">
      <c r="D996" s="36"/>
      <c r="E996" s="23"/>
    </row>
    <row r="997">
      <c r="D997" s="36"/>
      <c r="E997" s="23"/>
    </row>
    <row r="998">
      <c r="D998" s="36"/>
      <c r="E998" s="23"/>
    </row>
    <row r="999">
      <c r="D999" s="36"/>
      <c r="E999" s="23"/>
    </row>
    <row r="1000">
      <c r="D1000" s="36"/>
      <c r="E1000" s="23"/>
    </row>
    <row r="1001">
      <c r="D1001" s="36"/>
      <c r="E1001" s="23"/>
    </row>
    <row r="1002">
      <c r="D1002" s="36"/>
      <c r="E1002" s="23"/>
    </row>
    <row r="1003">
      <c r="D1003" s="36"/>
      <c r="E1003" s="23"/>
    </row>
    <row r="1004">
      <c r="D1004" s="36"/>
      <c r="E1004" s="23"/>
    </row>
    <row r="1005">
      <c r="D1005" s="36"/>
      <c r="E1005" s="23"/>
    </row>
    <row r="1006">
      <c r="D1006" s="36"/>
      <c r="E1006" s="23"/>
    </row>
    <row r="1007">
      <c r="D1007" s="36"/>
      <c r="E1007" s="23"/>
    </row>
    <row r="1008">
      <c r="D1008" s="36"/>
      <c r="E1008" s="23"/>
    </row>
    <row r="1009">
      <c r="D1009" s="36"/>
      <c r="E1009" s="23"/>
    </row>
    <row r="1010">
      <c r="D1010" s="36"/>
      <c r="E1010" s="23"/>
    </row>
    <row r="1011">
      <c r="D1011" s="36"/>
      <c r="E1011" s="23"/>
    </row>
    <row r="1012">
      <c r="D1012" s="36"/>
      <c r="E1012" s="23"/>
    </row>
    <row r="1013">
      <c r="D1013" s="36"/>
      <c r="E1013" s="23"/>
    </row>
    <row r="1014">
      <c r="D1014" s="36"/>
      <c r="E1014" s="23"/>
    </row>
    <row r="1015">
      <c r="D1015" s="36"/>
      <c r="E1015" s="23"/>
    </row>
    <row r="1016">
      <c r="D1016" s="36"/>
      <c r="E1016" s="23"/>
    </row>
    <row r="1017">
      <c r="D1017" s="36"/>
      <c r="E1017" s="23"/>
    </row>
    <row r="1018">
      <c r="D1018" s="36"/>
      <c r="E1018" s="23"/>
    </row>
    <row r="1019">
      <c r="D1019" s="36"/>
      <c r="E1019" s="23"/>
    </row>
    <row r="1020">
      <c r="D1020" s="36"/>
      <c r="E1020" s="23"/>
    </row>
    <row r="1021">
      <c r="D1021" s="36"/>
      <c r="E1021" s="23"/>
    </row>
    <row r="1022">
      <c r="D1022" s="36"/>
      <c r="E1022" s="23"/>
    </row>
    <row r="1023">
      <c r="D1023" s="36"/>
      <c r="E1023" s="23"/>
    </row>
    <row r="1024">
      <c r="D1024" s="36"/>
      <c r="E1024" s="23"/>
    </row>
    <row r="1025">
      <c r="D1025" s="36"/>
      <c r="E1025" s="23"/>
    </row>
    <row r="1026">
      <c r="D1026" s="36"/>
      <c r="E1026" s="23"/>
    </row>
    <row r="1027">
      <c r="D1027" s="36"/>
      <c r="E1027" s="23"/>
    </row>
    <row r="1028">
      <c r="D1028" s="36"/>
      <c r="E1028" s="23"/>
    </row>
    <row r="1029">
      <c r="D1029" s="36"/>
      <c r="E1029" s="23"/>
    </row>
    <row r="1030">
      <c r="D1030" s="36"/>
      <c r="E1030" s="23"/>
    </row>
    <row r="1031">
      <c r="D1031" s="36"/>
      <c r="E1031" s="23"/>
    </row>
    <row r="1032">
      <c r="D1032" s="36"/>
      <c r="E1032" s="23"/>
    </row>
    <row r="1033">
      <c r="D1033" s="36"/>
      <c r="E1033" s="23"/>
    </row>
    <row r="1034">
      <c r="D1034" s="36"/>
      <c r="E1034" s="23"/>
    </row>
    <row r="1035">
      <c r="D1035" s="36"/>
      <c r="E1035" s="23"/>
    </row>
    <row r="1036">
      <c r="D1036" s="36"/>
      <c r="E1036" s="23"/>
    </row>
    <row r="1037">
      <c r="D1037" s="36"/>
      <c r="E1037" s="23"/>
    </row>
    <row r="1038">
      <c r="D1038" s="36"/>
      <c r="E1038" s="23"/>
    </row>
    <row r="1039">
      <c r="D1039" s="36"/>
      <c r="E1039" s="23"/>
    </row>
    <row r="1040">
      <c r="D1040" s="36"/>
      <c r="E1040" s="23"/>
    </row>
    <row r="1041">
      <c r="D1041" s="36"/>
      <c r="E1041" s="23"/>
    </row>
    <row r="1042">
      <c r="D1042" s="36"/>
      <c r="E1042" s="23"/>
    </row>
    <row r="1043">
      <c r="D1043" s="36"/>
      <c r="E1043" s="23"/>
    </row>
    <row r="1044">
      <c r="D1044" s="36"/>
      <c r="E1044" s="23"/>
    </row>
    <row r="1045">
      <c r="D1045" s="36"/>
      <c r="E1045" s="23"/>
    </row>
    <row r="1046">
      <c r="D1046" s="36"/>
      <c r="E1046" s="23"/>
    </row>
    <row r="1047">
      <c r="D1047" s="36"/>
      <c r="E1047" s="23"/>
    </row>
    <row r="1048">
      <c r="D1048" s="36"/>
      <c r="E1048" s="23"/>
    </row>
    <row r="1049">
      <c r="D1049" s="36"/>
      <c r="E1049" s="23"/>
    </row>
    <row r="1050">
      <c r="D1050" s="36"/>
      <c r="E1050" s="23"/>
    </row>
    <row r="1051">
      <c r="D1051" s="36"/>
      <c r="E1051" s="23"/>
    </row>
    <row r="1052">
      <c r="D1052" s="36"/>
      <c r="E1052" s="23"/>
    </row>
    <row r="1053">
      <c r="D1053" s="36"/>
      <c r="E1053" s="23"/>
    </row>
    <row r="1054">
      <c r="C1054" s="33"/>
      <c r="D1054" s="36"/>
      <c r="E1054" s="23"/>
    </row>
    <row r="1055">
      <c r="D1055" s="36"/>
      <c r="E1055" s="23"/>
    </row>
    <row r="1056">
      <c r="D1056" s="36"/>
      <c r="E1056" s="23"/>
    </row>
    <row r="1057">
      <c r="D1057" s="36"/>
      <c r="E1057" s="23"/>
    </row>
    <row r="1058">
      <c r="D1058" s="36"/>
      <c r="E1058" s="23"/>
    </row>
    <row r="1059">
      <c r="D1059" s="36"/>
      <c r="E1059" s="23"/>
    </row>
    <row r="1060">
      <c r="D1060" s="36"/>
      <c r="E1060" s="23"/>
    </row>
    <row r="1061">
      <c r="D1061" s="36"/>
      <c r="E1061" s="23"/>
    </row>
    <row r="1062">
      <c r="D1062" s="36"/>
      <c r="E1062" s="23"/>
    </row>
    <row r="1063">
      <c r="D1063" s="36"/>
      <c r="E1063" s="23"/>
    </row>
    <row r="1064">
      <c r="D1064" s="36"/>
      <c r="E1064" s="23"/>
    </row>
    <row r="1065">
      <c r="D1065" s="36"/>
      <c r="E1065" s="23"/>
    </row>
    <row r="1066">
      <c r="D1066" s="36"/>
      <c r="E1066" s="23"/>
    </row>
    <row r="1067">
      <c r="D1067" s="36"/>
      <c r="E1067" s="23"/>
    </row>
    <row r="1068">
      <c r="D1068" s="36"/>
      <c r="E1068" s="23"/>
    </row>
    <row r="1069">
      <c r="D1069" s="36"/>
      <c r="E1069" s="23"/>
    </row>
    <row r="1070">
      <c r="D1070" s="36"/>
      <c r="E1070" s="23"/>
    </row>
    <row r="1071">
      <c r="D1071" s="36"/>
      <c r="E1071" s="23"/>
    </row>
    <row r="1072">
      <c r="D1072" s="36"/>
      <c r="E1072" s="23"/>
    </row>
    <row r="1073">
      <c r="D1073" s="36"/>
      <c r="E1073" s="23"/>
    </row>
    <row r="1074">
      <c r="D1074" s="36"/>
      <c r="E1074" s="23"/>
    </row>
    <row r="1075">
      <c r="D1075" s="36"/>
      <c r="E1075" s="23"/>
    </row>
    <row r="1076">
      <c r="D1076" s="36"/>
      <c r="E1076" s="23"/>
    </row>
    <row r="1077">
      <c r="D1077" s="36"/>
      <c r="E1077" s="23"/>
    </row>
    <row r="1078">
      <c r="D1078" s="36"/>
      <c r="E1078" s="23"/>
    </row>
    <row r="1079">
      <c r="D1079" s="36"/>
      <c r="E1079" s="23"/>
    </row>
    <row r="1080">
      <c r="D1080" s="36"/>
      <c r="E1080" s="23"/>
    </row>
    <row r="1081">
      <c r="D1081" s="36"/>
      <c r="E1081" s="23"/>
    </row>
    <row r="1082">
      <c r="D1082" s="36"/>
      <c r="E1082" s="23"/>
    </row>
    <row r="1083">
      <c r="D1083" s="36"/>
      <c r="E1083" s="23"/>
    </row>
    <row r="1084">
      <c r="D1084" s="36"/>
      <c r="E1084" s="23"/>
    </row>
    <row r="1085">
      <c r="D1085" s="36"/>
      <c r="E1085" s="23"/>
    </row>
    <row r="1086">
      <c r="D1086" s="36"/>
      <c r="E1086" s="23"/>
    </row>
    <row r="1087">
      <c r="D1087" s="36"/>
      <c r="E1087" s="23"/>
    </row>
    <row r="1088">
      <c r="D1088" s="36"/>
      <c r="E1088" s="23"/>
    </row>
    <row r="1089">
      <c r="D1089" s="36"/>
      <c r="E1089" s="23"/>
    </row>
    <row r="1090">
      <c r="D1090" s="36"/>
      <c r="E1090" s="23"/>
    </row>
    <row r="1091">
      <c r="D1091" s="36"/>
      <c r="E1091" s="23"/>
    </row>
    <row r="1092">
      <c r="D1092" s="36"/>
      <c r="E1092" s="23"/>
    </row>
    <row r="1093">
      <c r="D1093" s="36"/>
      <c r="E1093" s="23"/>
    </row>
    <row r="1094">
      <c r="D1094" s="36"/>
      <c r="E1094" s="23"/>
    </row>
    <row r="1095">
      <c r="D1095" s="36"/>
      <c r="E1095" s="23"/>
    </row>
    <row r="1096">
      <c r="D1096" s="36"/>
      <c r="E1096" s="23"/>
    </row>
    <row r="1097">
      <c r="D1097" s="36"/>
      <c r="E1097" s="23"/>
    </row>
    <row r="1098">
      <c r="D1098" s="36"/>
      <c r="E1098" s="23"/>
    </row>
    <row r="1099">
      <c r="D1099" s="36"/>
      <c r="E1099" s="23"/>
    </row>
    <row r="1100">
      <c r="D1100" s="36"/>
      <c r="E1100" s="23"/>
    </row>
    <row r="1101">
      <c r="D1101" s="36"/>
      <c r="E1101" s="23"/>
    </row>
    <row r="1102">
      <c r="D1102" s="36"/>
      <c r="E1102" s="23"/>
    </row>
    <row r="1103">
      <c r="D1103" s="36"/>
      <c r="E1103" s="23"/>
    </row>
    <row r="1104">
      <c r="D1104" s="36"/>
      <c r="E1104" s="23"/>
    </row>
    <row r="1105">
      <c r="D1105" s="36"/>
      <c r="E1105" s="23"/>
    </row>
    <row r="1106">
      <c r="D1106" s="36"/>
      <c r="E1106" s="23"/>
    </row>
    <row r="1107">
      <c r="D1107" s="36"/>
      <c r="E1107" s="23"/>
    </row>
    <row r="1108">
      <c r="D1108" s="36"/>
      <c r="E1108" s="23"/>
    </row>
    <row r="1109">
      <c r="D1109" s="36"/>
      <c r="E1109" s="23"/>
    </row>
    <row r="1110">
      <c r="D1110" s="36"/>
      <c r="E1110" s="23"/>
    </row>
    <row r="1111">
      <c r="D1111" s="36"/>
      <c r="E1111" s="23"/>
    </row>
    <row r="1112">
      <c r="D1112" s="36"/>
      <c r="E1112" s="23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7.38"/>
    <col customWidth="1" min="4" max="4" width="13.25"/>
    <col customWidth="1" min="5" max="5" width="12.5"/>
  </cols>
  <sheetData>
    <row r="1">
      <c r="A1" s="15" t="s">
        <v>2767</v>
      </c>
      <c r="B1" s="15" t="s">
        <v>2768</v>
      </c>
      <c r="C1" s="15" t="s">
        <v>2769</v>
      </c>
      <c r="D1" s="33" t="s">
        <v>2770</v>
      </c>
      <c r="E1" s="33" t="s">
        <v>2771</v>
      </c>
      <c r="F1" s="15" t="s">
        <v>2772</v>
      </c>
    </row>
    <row r="2">
      <c r="B2" s="15" t="s">
        <v>348</v>
      </c>
      <c r="E2" s="36"/>
      <c r="F2" s="15" t="s">
        <v>2773</v>
      </c>
      <c r="G2" s="33">
        <v>745000.0</v>
      </c>
    </row>
    <row r="3">
      <c r="C3" s="39" t="s">
        <v>2774</v>
      </c>
      <c r="D3" s="40">
        <v>1390000.0</v>
      </c>
      <c r="E3" s="40">
        <f>D3*2</f>
        <v>2780000</v>
      </c>
    </row>
    <row r="4">
      <c r="C4" s="41" t="s">
        <v>2775</v>
      </c>
      <c r="D4" s="42">
        <v>670000.0</v>
      </c>
      <c r="E4" s="43"/>
    </row>
    <row r="5">
      <c r="C5" s="41" t="s">
        <v>2776</v>
      </c>
      <c r="D5" s="42">
        <v>1430000.0</v>
      </c>
      <c r="E5" s="43"/>
    </row>
    <row r="6">
      <c r="C6" s="44" t="s">
        <v>1896</v>
      </c>
      <c r="D6" s="45">
        <v>1080000.0</v>
      </c>
      <c r="E6" s="45">
        <f>D6*6</f>
        <v>6480000</v>
      </c>
    </row>
    <row r="7">
      <c r="B7" s="15" t="s">
        <v>2777</v>
      </c>
      <c r="C7" s="15" t="s">
        <v>2778</v>
      </c>
      <c r="D7" s="33">
        <v>1540000.0</v>
      </c>
      <c r="E7" s="36"/>
    </row>
    <row r="8">
      <c r="C8" s="15" t="s">
        <v>2779</v>
      </c>
      <c r="D8" s="33">
        <v>1550000.0</v>
      </c>
      <c r="E8" s="36"/>
    </row>
    <row r="9">
      <c r="C9" s="15" t="s">
        <v>2780</v>
      </c>
      <c r="D9" s="33">
        <v>690000.0</v>
      </c>
      <c r="E9" s="36"/>
    </row>
    <row r="10">
      <c r="C10" s="15" t="s">
        <v>2781</v>
      </c>
      <c r="D10" s="33">
        <v>915000.0</v>
      </c>
      <c r="E10" s="36"/>
    </row>
    <row r="11">
      <c r="C11" s="15" t="s">
        <v>2782</v>
      </c>
      <c r="D11" s="33">
        <v>1250000.0</v>
      </c>
      <c r="E11" s="36"/>
    </row>
    <row r="12">
      <c r="B12" s="15" t="s">
        <v>2783</v>
      </c>
      <c r="C12" s="15" t="s">
        <v>2784</v>
      </c>
      <c r="D12" s="33">
        <v>1000000.0</v>
      </c>
      <c r="E12" s="36">
        <f>D12*2</f>
        <v>2000000</v>
      </c>
    </row>
    <row r="13">
      <c r="E13" s="36"/>
      <c r="F13" s="15" t="s">
        <v>2785</v>
      </c>
      <c r="G13" s="33">
        <v>600000.0</v>
      </c>
    </row>
    <row r="14">
      <c r="C14" s="15" t="s">
        <v>2786</v>
      </c>
      <c r="D14" s="33">
        <v>1575000.0</v>
      </c>
      <c r="E14" s="36">
        <f>D14*2</f>
        <v>3150000</v>
      </c>
    </row>
    <row r="15">
      <c r="E15" s="36"/>
      <c r="F15" s="15" t="s">
        <v>2787</v>
      </c>
      <c r="G15" s="33">
        <v>800000.0</v>
      </c>
    </row>
    <row r="16">
      <c r="B16" s="15" t="s">
        <v>2788</v>
      </c>
      <c r="C16" s="39" t="s">
        <v>2789</v>
      </c>
      <c r="D16" s="40">
        <v>1600000.0</v>
      </c>
      <c r="E16" s="40">
        <v>1600000.0</v>
      </c>
    </row>
    <row r="17">
      <c r="C17" s="44" t="s">
        <v>2790</v>
      </c>
      <c r="D17" s="45">
        <v>2500000.0</v>
      </c>
      <c r="E17" s="46">
        <f>D17*3</f>
        <v>7500000</v>
      </c>
      <c r="G17" s="31"/>
    </row>
    <row r="18">
      <c r="C18" s="47"/>
      <c r="D18" s="47"/>
      <c r="E18" s="43"/>
      <c r="F18" s="15" t="s">
        <v>2791</v>
      </c>
      <c r="G18" s="33">
        <v>1300000.0</v>
      </c>
    </row>
    <row r="19">
      <c r="C19" s="39" t="s">
        <v>2792</v>
      </c>
      <c r="D19" s="40">
        <v>2350000.0</v>
      </c>
      <c r="E19" s="40">
        <f>D19*2</f>
        <v>4700000</v>
      </c>
    </row>
    <row r="20">
      <c r="C20" s="39" t="s">
        <v>2793</v>
      </c>
      <c r="D20" s="40">
        <v>3480000.0</v>
      </c>
      <c r="E20" s="40">
        <v>3480000.0</v>
      </c>
    </row>
    <row r="21">
      <c r="C21" s="41" t="s">
        <v>2794</v>
      </c>
      <c r="D21" s="42">
        <v>3530000.0</v>
      </c>
      <c r="E21" s="43"/>
    </row>
    <row r="22">
      <c r="C22" s="44" t="s">
        <v>2795</v>
      </c>
      <c r="D22" s="45">
        <v>3000000.0</v>
      </c>
      <c r="E22" s="45">
        <v>3000000.0</v>
      </c>
    </row>
    <row r="23">
      <c r="B23" s="15" t="s">
        <v>2659</v>
      </c>
      <c r="C23" s="48" t="s">
        <v>2775</v>
      </c>
      <c r="D23" s="49">
        <v>2640000.0</v>
      </c>
      <c r="E23" s="49">
        <v>2640000.0</v>
      </c>
    </row>
    <row r="24">
      <c r="C24" s="15" t="s">
        <v>2782</v>
      </c>
      <c r="D24" s="33">
        <v>1795000.0</v>
      </c>
      <c r="E24" s="36"/>
    </row>
    <row r="25">
      <c r="C25" s="15" t="s">
        <v>2781</v>
      </c>
      <c r="D25" s="33">
        <v>1155000.0</v>
      </c>
      <c r="E25" s="36"/>
    </row>
    <row r="26">
      <c r="B26" s="15" t="s">
        <v>2796</v>
      </c>
      <c r="C26" s="15" t="s">
        <v>2797</v>
      </c>
      <c r="D26" s="33">
        <v>1300000.0</v>
      </c>
      <c r="E26" s="36"/>
    </row>
    <row r="27">
      <c r="B27" s="15" t="s">
        <v>2798</v>
      </c>
      <c r="C27" s="15" t="s">
        <v>2799</v>
      </c>
      <c r="D27" s="33">
        <v>2390000.0</v>
      </c>
      <c r="E27" s="36"/>
    </row>
    <row r="28">
      <c r="C28" s="15" t="s">
        <v>2800</v>
      </c>
      <c r="D28" s="33">
        <v>2990000.0</v>
      </c>
      <c r="E28" s="36"/>
    </row>
    <row r="29">
      <c r="C29" s="15" t="s">
        <v>2801</v>
      </c>
      <c r="D29" s="33">
        <v>1380000.0</v>
      </c>
      <c r="E29" s="36"/>
    </row>
    <row r="30">
      <c r="E30" s="36"/>
      <c r="F30" s="15" t="s">
        <v>2802</v>
      </c>
      <c r="G30" s="33">
        <v>1890000.0</v>
      </c>
    </row>
    <row r="31">
      <c r="B31" s="15" t="s">
        <v>2803</v>
      </c>
      <c r="C31" s="15" t="s">
        <v>2804</v>
      </c>
      <c r="D31" s="33">
        <v>990000.0</v>
      </c>
      <c r="E31" s="36"/>
    </row>
    <row r="32">
      <c r="C32" s="15" t="s">
        <v>2805</v>
      </c>
      <c r="D32" s="33">
        <v>1160000.0</v>
      </c>
      <c r="E32" s="36"/>
    </row>
    <row r="33">
      <c r="E33" s="36"/>
      <c r="F33" s="15" t="s">
        <v>2806</v>
      </c>
      <c r="G33" s="33">
        <v>640000.0</v>
      </c>
    </row>
    <row r="34">
      <c r="C34" s="15" t="s">
        <v>2807</v>
      </c>
      <c r="D34" s="33">
        <v>1970000.0</v>
      </c>
      <c r="E34" s="36"/>
    </row>
    <row r="35">
      <c r="C35" s="15" t="s">
        <v>2808</v>
      </c>
      <c r="D35" s="33">
        <v>980000.0</v>
      </c>
      <c r="E35" s="36"/>
    </row>
    <row r="36">
      <c r="E36" s="36"/>
      <c r="F36" s="15" t="s">
        <v>2809</v>
      </c>
      <c r="G36" s="33">
        <v>590000.0</v>
      </c>
    </row>
    <row r="37">
      <c r="C37" s="15" t="s">
        <v>2810</v>
      </c>
      <c r="D37" s="33">
        <v>930000.0</v>
      </c>
      <c r="E37" s="36"/>
    </row>
    <row r="38">
      <c r="B38" s="15" t="s">
        <v>2811</v>
      </c>
      <c r="C38" s="15" t="s">
        <v>2812</v>
      </c>
      <c r="D38" s="33">
        <v>1300000.0</v>
      </c>
      <c r="E38" s="36"/>
    </row>
    <row r="39">
      <c r="C39" s="15" t="s">
        <v>2813</v>
      </c>
      <c r="D39" s="33">
        <v>900000.0</v>
      </c>
      <c r="E39" s="36"/>
    </row>
    <row r="40">
      <c r="B40" s="15" t="s">
        <v>2814</v>
      </c>
      <c r="E40" s="36"/>
      <c r="F40" s="15" t="s">
        <v>2815</v>
      </c>
      <c r="G40" s="33">
        <v>1050000.0</v>
      </c>
    </row>
    <row r="41">
      <c r="E41" s="36"/>
      <c r="F41" s="15" t="s">
        <v>2816</v>
      </c>
      <c r="G41" s="33">
        <v>1975000.0</v>
      </c>
    </row>
    <row r="42">
      <c r="E42" s="36"/>
      <c r="F42" s="15" t="s">
        <v>2817</v>
      </c>
      <c r="G42" s="33">
        <v>975000.0</v>
      </c>
    </row>
    <row r="43">
      <c r="E43" s="36"/>
      <c r="F43" s="15" t="s">
        <v>2818</v>
      </c>
      <c r="G43" s="33">
        <v>1000000.0</v>
      </c>
    </row>
    <row r="44">
      <c r="B44" s="15" t="s">
        <v>2819</v>
      </c>
      <c r="E44" s="36"/>
      <c r="F44" s="15" t="s">
        <v>2820</v>
      </c>
      <c r="G44" s="33">
        <v>960000.0</v>
      </c>
    </row>
    <row r="45">
      <c r="E45" s="36"/>
      <c r="F45" s="15" t="s">
        <v>2821</v>
      </c>
      <c r="G45" s="33">
        <v>925000.0</v>
      </c>
    </row>
    <row r="46">
      <c r="C46" s="15" t="s">
        <v>2822</v>
      </c>
      <c r="D46" s="33">
        <v>1120000.0</v>
      </c>
      <c r="E46" s="36"/>
    </row>
    <row r="47">
      <c r="C47" s="15" t="s">
        <v>2823</v>
      </c>
      <c r="D47" s="33">
        <v>1000000.0</v>
      </c>
      <c r="E47" s="36"/>
    </row>
    <row r="48">
      <c r="C48" s="50" t="s">
        <v>2824</v>
      </c>
      <c r="D48" s="51">
        <v>535000.0</v>
      </c>
      <c r="E48" s="51">
        <v>535000.0</v>
      </c>
    </row>
    <row r="49">
      <c r="B49" s="15" t="s">
        <v>2825</v>
      </c>
      <c r="C49" s="50" t="s">
        <v>2826</v>
      </c>
      <c r="D49" s="51">
        <v>700000.0</v>
      </c>
      <c r="E49" s="51">
        <v>700000.0</v>
      </c>
    </row>
    <row r="50">
      <c r="C50" s="48" t="s">
        <v>2827</v>
      </c>
      <c r="D50" s="49">
        <v>800000.0</v>
      </c>
      <c r="E50" s="49">
        <v>800000.0</v>
      </c>
    </row>
    <row r="51">
      <c r="B51" s="15" t="s">
        <v>2828</v>
      </c>
      <c r="C51" s="15" t="s">
        <v>2829</v>
      </c>
      <c r="D51" s="33">
        <v>1190000.0</v>
      </c>
      <c r="E51" s="36"/>
    </row>
    <row r="52">
      <c r="C52" s="15" t="s">
        <v>2830</v>
      </c>
      <c r="D52" s="33">
        <v>580000.0</v>
      </c>
      <c r="E52" s="36"/>
    </row>
    <row r="53">
      <c r="B53" s="15" t="s">
        <v>2831</v>
      </c>
      <c r="C53" s="15" t="s">
        <v>2832</v>
      </c>
      <c r="D53" s="33">
        <v>830000.0</v>
      </c>
      <c r="E53" s="36"/>
    </row>
    <row r="54">
      <c r="B54" s="15" t="s">
        <v>2833</v>
      </c>
      <c r="C54" s="50" t="s">
        <v>2834</v>
      </c>
      <c r="D54" s="51">
        <v>630000.0</v>
      </c>
      <c r="E54" s="51">
        <v>630000.0</v>
      </c>
    </row>
    <row r="55">
      <c r="E55" s="36"/>
      <c r="F55" s="15" t="s">
        <v>2835</v>
      </c>
      <c r="G55" s="33">
        <v>800000.0</v>
      </c>
    </row>
    <row r="56">
      <c r="B56" s="15" t="s">
        <v>2836</v>
      </c>
      <c r="C56" s="50" t="s">
        <v>2837</v>
      </c>
      <c r="D56" s="51">
        <v>1020000.0</v>
      </c>
      <c r="E56" s="51">
        <f>D56*4</f>
        <v>4080000</v>
      </c>
    </row>
    <row r="57">
      <c r="C57" s="50" t="s">
        <v>2838</v>
      </c>
      <c r="D57" s="51">
        <v>700000.0</v>
      </c>
      <c r="E57" s="51">
        <v>700000.0</v>
      </c>
    </row>
    <row r="58">
      <c r="B58" s="15" t="s">
        <v>2839</v>
      </c>
      <c r="E58" s="36"/>
      <c r="F58" s="15" t="s">
        <v>2840</v>
      </c>
      <c r="G58" s="33">
        <v>620000.0</v>
      </c>
    </row>
    <row r="59">
      <c r="B59" s="15" t="s">
        <v>2841</v>
      </c>
      <c r="C59" s="15" t="s">
        <v>2842</v>
      </c>
      <c r="D59" s="33">
        <v>650000.0</v>
      </c>
      <c r="E59" s="36"/>
    </row>
    <row r="60">
      <c r="C60" s="15" t="s">
        <v>2843</v>
      </c>
      <c r="D60" s="33">
        <v>750000.0</v>
      </c>
      <c r="E60" s="36"/>
    </row>
    <row r="61">
      <c r="B61" s="15" t="s">
        <v>2844</v>
      </c>
      <c r="C61" s="15" t="s">
        <v>2845</v>
      </c>
      <c r="D61" s="33">
        <v>1550000.0</v>
      </c>
      <c r="E61" s="36"/>
    </row>
    <row r="62">
      <c r="B62" s="15"/>
      <c r="C62" s="48" t="s">
        <v>2846</v>
      </c>
      <c r="D62" s="49">
        <v>5990000.0</v>
      </c>
      <c r="E62" s="51">
        <v>5990000.0</v>
      </c>
    </row>
    <row r="63">
      <c r="B63" s="15"/>
      <c r="C63" s="48" t="s">
        <v>2847</v>
      </c>
      <c r="D63" s="49">
        <v>5990000.0</v>
      </c>
      <c r="E63" s="51">
        <v>5990000.0</v>
      </c>
      <c r="F63" s="15" t="s">
        <v>2848</v>
      </c>
      <c r="G63" s="33">
        <v>3880000.0</v>
      </c>
    </row>
    <row r="64">
      <c r="B64" s="15"/>
      <c r="C64" s="15" t="s">
        <v>2849</v>
      </c>
      <c r="D64" s="33">
        <v>7400000.0</v>
      </c>
      <c r="E64" s="36"/>
    </row>
    <row r="65">
      <c r="B65" s="15"/>
      <c r="E65" s="36"/>
      <c r="F65" s="15" t="s">
        <v>2850</v>
      </c>
      <c r="G65" s="33">
        <v>3290000.0</v>
      </c>
    </row>
    <row r="66">
      <c r="B66" s="15" t="s">
        <v>2851</v>
      </c>
      <c r="E66" s="36"/>
      <c r="F66" s="15" t="s">
        <v>2852</v>
      </c>
      <c r="G66" s="33">
        <v>1935000.0</v>
      </c>
    </row>
    <row r="67">
      <c r="B67" s="15"/>
      <c r="C67" s="15" t="s">
        <v>2843</v>
      </c>
      <c r="D67" s="33">
        <v>2410000.0</v>
      </c>
      <c r="E67" s="36"/>
    </row>
    <row r="68">
      <c r="B68" s="15" t="s">
        <v>2853</v>
      </c>
      <c r="C68" s="15" t="s">
        <v>2854</v>
      </c>
      <c r="D68" s="33">
        <v>5485000.0</v>
      </c>
      <c r="E68" s="36"/>
    </row>
    <row r="69">
      <c r="B69" s="15" t="s">
        <v>2855</v>
      </c>
      <c r="E69" s="36"/>
      <c r="F69" s="15" t="s">
        <v>2856</v>
      </c>
      <c r="G69" s="33">
        <v>675000.0</v>
      </c>
    </row>
    <row r="70">
      <c r="B70" s="15" t="s">
        <v>2857</v>
      </c>
      <c r="C70" s="48" t="s">
        <v>1815</v>
      </c>
      <c r="D70" s="49">
        <v>4000000.0</v>
      </c>
      <c r="E70" s="49">
        <f>4000000*2</f>
        <v>8000000</v>
      </c>
    </row>
    <row r="71">
      <c r="C71" s="15" t="s">
        <v>2858</v>
      </c>
      <c r="D71" s="33">
        <v>4000000.0</v>
      </c>
      <c r="E71" s="36">
        <f>D71</f>
        <v>4000000</v>
      </c>
    </row>
    <row r="72">
      <c r="C72" s="15" t="s">
        <v>2859</v>
      </c>
      <c r="D72" s="33">
        <v>3000000.0</v>
      </c>
      <c r="E72" s="36">
        <f>D72*2</f>
        <v>6000000</v>
      </c>
    </row>
    <row r="73">
      <c r="D73" s="36">
        <f>SUM(D2:D70)</f>
        <v>94760000</v>
      </c>
      <c r="E73" s="36">
        <f>SUM(E2:E72)</f>
        <v>74755000</v>
      </c>
    </row>
    <row r="74">
      <c r="D74" s="36"/>
      <c r="E74" s="36"/>
    </row>
    <row r="75">
      <c r="D75" s="36"/>
      <c r="E75" s="36"/>
    </row>
    <row r="76">
      <c r="D76" s="36"/>
      <c r="E76" s="36"/>
    </row>
    <row r="77">
      <c r="D77" s="36"/>
      <c r="E77" s="36"/>
    </row>
    <row r="78">
      <c r="D78" s="36"/>
      <c r="E78" s="36"/>
    </row>
    <row r="79">
      <c r="D79" s="36"/>
      <c r="E79" s="36"/>
    </row>
    <row r="80">
      <c r="D80" s="36"/>
      <c r="E80" s="36"/>
    </row>
    <row r="81">
      <c r="D81" s="36"/>
      <c r="E81" s="36"/>
    </row>
    <row r="82">
      <c r="D82" s="36"/>
      <c r="E82" s="36"/>
    </row>
    <row r="83">
      <c r="D83" s="36"/>
      <c r="E83" s="36"/>
    </row>
    <row r="84">
      <c r="D84" s="36"/>
      <c r="E84" s="36"/>
    </row>
    <row r="85">
      <c r="D85" s="36"/>
      <c r="E85" s="36"/>
    </row>
    <row r="86">
      <c r="D86" s="36"/>
      <c r="E86" s="36"/>
    </row>
    <row r="87">
      <c r="D87" s="36"/>
      <c r="E87" s="36"/>
    </row>
    <row r="88">
      <c r="D88" s="36"/>
      <c r="E88" s="36"/>
    </row>
    <row r="89">
      <c r="D89" s="36"/>
      <c r="E89" s="36"/>
    </row>
    <row r="90">
      <c r="D90" s="36"/>
      <c r="E90" s="36"/>
    </row>
    <row r="91">
      <c r="D91" s="36"/>
      <c r="E91" s="36"/>
    </row>
    <row r="92">
      <c r="D92" s="36"/>
      <c r="E92" s="36"/>
    </row>
    <row r="93">
      <c r="D93" s="36"/>
      <c r="E93" s="36"/>
    </row>
    <row r="94">
      <c r="D94" s="36"/>
      <c r="E94" s="36"/>
    </row>
    <row r="95">
      <c r="D95" s="36"/>
      <c r="E95" s="36"/>
    </row>
    <row r="96">
      <c r="D96" s="36"/>
      <c r="E96" s="36"/>
    </row>
    <row r="97">
      <c r="D97" s="36"/>
      <c r="E97" s="36"/>
    </row>
    <row r="98">
      <c r="D98" s="36"/>
      <c r="E98" s="36"/>
    </row>
    <row r="99">
      <c r="D99" s="36"/>
      <c r="E99" s="36"/>
    </row>
    <row r="100">
      <c r="D100" s="36"/>
      <c r="E100" s="36"/>
    </row>
    <row r="101">
      <c r="D101" s="36"/>
      <c r="E101" s="36"/>
    </row>
    <row r="102">
      <c r="D102" s="36"/>
      <c r="E102" s="36"/>
    </row>
    <row r="103">
      <c r="D103" s="36"/>
      <c r="E103" s="36"/>
    </row>
    <row r="104">
      <c r="D104" s="36"/>
      <c r="E104" s="36"/>
    </row>
    <row r="105">
      <c r="D105" s="36"/>
      <c r="E105" s="36"/>
    </row>
    <row r="106">
      <c r="D106" s="36"/>
      <c r="E106" s="36"/>
    </row>
    <row r="107">
      <c r="D107" s="36"/>
      <c r="E107" s="36"/>
    </row>
    <row r="108">
      <c r="D108" s="36"/>
      <c r="E108" s="36"/>
    </row>
    <row r="109">
      <c r="D109" s="36"/>
      <c r="E109" s="36"/>
    </row>
    <row r="110">
      <c r="D110" s="36"/>
      <c r="E110" s="36"/>
    </row>
    <row r="111">
      <c r="D111" s="36"/>
      <c r="E111" s="36"/>
    </row>
    <row r="112">
      <c r="D112" s="36"/>
      <c r="E112" s="36"/>
    </row>
    <row r="113">
      <c r="D113" s="36"/>
      <c r="E113" s="36"/>
    </row>
    <row r="114">
      <c r="D114" s="36"/>
      <c r="E114" s="36"/>
    </row>
    <row r="115">
      <c r="D115" s="36"/>
      <c r="E115" s="36"/>
    </row>
    <row r="116">
      <c r="D116" s="36"/>
      <c r="E116" s="36"/>
    </row>
    <row r="117">
      <c r="D117" s="36"/>
      <c r="E117" s="36"/>
    </row>
    <row r="118">
      <c r="D118" s="36"/>
      <c r="E118" s="36"/>
    </row>
    <row r="119">
      <c r="D119" s="36"/>
      <c r="E119" s="36"/>
    </row>
    <row r="120">
      <c r="D120" s="36"/>
      <c r="E120" s="36"/>
    </row>
    <row r="121">
      <c r="D121" s="36"/>
      <c r="E121" s="36"/>
    </row>
    <row r="122">
      <c r="D122" s="36"/>
      <c r="E122" s="36"/>
    </row>
    <row r="123">
      <c r="D123" s="36"/>
      <c r="E123" s="36"/>
    </row>
    <row r="124">
      <c r="D124" s="36"/>
      <c r="E124" s="36"/>
    </row>
    <row r="125">
      <c r="D125" s="36"/>
      <c r="E125" s="36"/>
    </row>
    <row r="126">
      <c r="D126" s="36"/>
      <c r="E126" s="36"/>
    </row>
    <row r="127">
      <c r="D127" s="36"/>
      <c r="E127" s="36"/>
    </row>
    <row r="128">
      <c r="D128" s="36"/>
      <c r="E128" s="36"/>
    </row>
    <row r="129">
      <c r="D129" s="36"/>
      <c r="E129" s="36"/>
    </row>
    <row r="130">
      <c r="D130" s="36"/>
      <c r="E130" s="36"/>
    </row>
    <row r="131">
      <c r="D131" s="36"/>
      <c r="E131" s="36"/>
    </row>
    <row r="132">
      <c r="D132" s="36"/>
      <c r="E132" s="36"/>
    </row>
    <row r="133">
      <c r="D133" s="36"/>
      <c r="E133" s="36"/>
    </row>
    <row r="134">
      <c r="D134" s="36"/>
      <c r="E134" s="36"/>
    </row>
    <row r="135">
      <c r="D135" s="36"/>
      <c r="E135" s="36"/>
    </row>
    <row r="136">
      <c r="D136" s="36"/>
      <c r="E136" s="36"/>
    </row>
    <row r="137">
      <c r="D137" s="36"/>
      <c r="E137" s="36"/>
    </row>
    <row r="138">
      <c r="D138" s="36"/>
      <c r="E138" s="36"/>
    </row>
    <row r="139">
      <c r="D139" s="36"/>
      <c r="E139" s="36"/>
    </row>
    <row r="140">
      <c r="D140" s="36"/>
      <c r="E140" s="36"/>
    </row>
    <row r="141">
      <c r="D141" s="36"/>
      <c r="E141" s="36"/>
    </row>
    <row r="142">
      <c r="D142" s="36"/>
      <c r="E142" s="36"/>
    </row>
    <row r="143">
      <c r="D143" s="36"/>
      <c r="E143" s="36"/>
    </row>
    <row r="144">
      <c r="D144" s="36"/>
      <c r="E144" s="36"/>
    </row>
    <row r="145">
      <c r="D145" s="36"/>
      <c r="E145" s="36"/>
    </row>
    <row r="146">
      <c r="D146" s="36"/>
      <c r="E146" s="36"/>
    </row>
    <row r="147">
      <c r="D147" s="36"/>
      <c r="E147" s="36"/>
    </row>
    <row r="148">
      <c r="D148" s="36"/>
      <c r="E148" s="36"/>
    </row>
    <row r="149">
      <c r="D149" s="36"/>
      <c r="E149" s="36"/>
    </row>
    <row r="150">
      <c r="D150" s="36"/>
      <c r="E150" s="36"/>
    </row>
    <row r="151">
      <c r="D151" s="36"/>
      <c r="E151" s="36"/>
    </row>
    <row r="152">
      <c r="D152" s="36"/>
      <c r="E152" s="36"/>
    </row>
    <row r="153">
      <c r="D153" s="36"/>
      <c r="E153" s="36"/>
    </row>
    <row r="154">
      <c r="D154" s="36"/>
      <c r="E154" s="36"/>
    </row>
    <row r="155">
      <c r="D155" s="36"/>
      <c r="E155" s="36"/>
    </row>
    <row r="156">
      <c r="D156" s="36"/>
      <c r="E156" s="36"/>
    </row>
    <row r="157">
      <c r="D157" s="36"/>
      <c r="E157" s="36"/>
    </row>
    <row r="158">
      <c r="D158" s="36"/>
      <c r="E158" s="36"/>
    </row>
    <row r="159">
      <c r="D159" s="36"/>
      <c r="E159" s="36"/>
    </row>
    <row r="160">
      <c r="D160" s="36"/>
      <c r="E160" s="36"/>
    </row>
    <row r="161">
      <c r="D161" s="36"/>
      <c r="E161" s="36"/>
    </row>
    <row r="162">
      <c r="D162" s="36"/>
      <c r="E162" s="36"/>
    </row>
    <row r="163">
      <c r="D163" s="36"/>
      <c r="E163" s="36"/>
    </row>
    <row r="164">
      <c r="D164" s="36"/>
      <c r="E164" s="36"/>
    </row>
    <row r="165">
      <c r="D165" s="36"/>
      <c r="E165" s="36"/>
    </row>
    <row r="166">
      <c r="D166" s="36"/>
      <c r="E166" s="36"/>
    </row>
    <row r="167">
      <c r="D167" s="36"/>
      <c r="E167" s="36"/>
    </row>
    <row r="168">
      <c r="D168" s="36"/>
      <c r="E168" s="36"/>
    </row>
    <row r="169">
      <c r="D169" s="36"/>
      <c r="E169" s="36"/>
    </row>
    <row r="170">
      <c r="D170" s="36"/>
      <c r="E170" s="36"/>
    </row>
    <row r="171">
      <c r="D171" s="36"/>
      <c r="E171" s="36"/>
    </row>
    <row r="172">
      <c r="D172" s="36"/>
      <c r="E172" s="36"/>
    </row>
    <row r="173">
      <c r="D173" s="36"/>
      <c r="E173" s="36"/>
    </row>
    <row r="174">
      <c r="D174" s="36"/>
      <c r="E174" s="36"/>
    </row>
    <row r="175">
      <c r="D175" s="36"/>
      <c r="E175" s="36"/>
    </row>
    <row r="176">
      <c r="D176" s="36"/>
      <c r="E176" s="36"/>
    </row>
    <row r="177">
      <c r="D177" s="36"/>
      <c r="E177" s="36"/>
    </row>
    <row r="178">
      <c r="D178" s="36"/>
      <c r="E178" s="36"/>
    </row>
    <row r="179">
      <c r="D179" s="36"/>
      <c r="E179" s="36"/>
    </row>
    <row r="180">
      <c r="D180" s="36"/>
      <c r="E180" s="36"/>
    </row>
    <row r="181">
      <c r="D181" s="36"/>
      <c r="E181" s="36"/>
    </row>
    <row r="182">
      <c r="D182" s="36"/>
      <c r="E182" s="36"/>
    </row>
    <row r="183">
      <c r="D183" s="36"/>
      <c r="E183" s="36"/>
    </row>
    <row r="184">
      <c r="D184" s="36"/>
      <c r="E184" s="36"/>
    </row>
    <row r="185">
      <c r="D185" s="36"/>
      <c r="E185" s="36"/>
    </row>
    <row r="186">
      <c r="D186" s="36"/>
      <c r="E186" s="36"/>
    </row>
    <row r="187">
      <c r="D187" s="36"/>
      <c r="E187" s="36"/>
    </row>
    <row r="188">
      <c r="D188" s="36"/>
      <c r="E188" s="36"/>
    </row>
    <row r="189">
      <c r="D189" s="36"/>
      <c r="E189" s="36"/>
    </row>
    <row r="190">
      <c r="D190" s="36"/>
      <c r="E190" s="36"/>
    </row>
    <row r="191">
      <c r="D191" s="36"/>
      <c r="E191" s="36"/>
    </row>
    <row r="192">
      <c r="D192" s="36"/>
      <c r="E192" s="36"/>
    </row>
    <row r="193">
      <c r="D193" s="36"/>
      <c r="E193" s="36"/>
    </row>
    <row r="194">
      <c r="D194" s="36"/>
      <c r="E194" s="36"/>
    </row>
    <row r="195">
      <c r="D195" s="36"/>
      <c r="E195" s="36"/>
    </row>
    <row r="196">
      <c r="D196" s="36"/>
      <c r="E196" s="36"/>
    </row>
    <row r="197">
      <c r="D197" s="36"/>
      <c r="E197" s="36"/>
    </row>
    <row r="198">
      <c r="D198" s="36"/>
      <c r="E198" s="36"/>
    </row>
    <row r="199">
      <c r="D199" s="36"/>
      <c r="E199" s="36"/>
    </row>
    <row r="200">
      <c r="D200" s="36"/>
      <c r="E200" s="36"/>
    </row>
    <row r="201">
      <c r="D201" s="36"/>
      <c r="E201" s="36"/>
    </row>
    <row r="202">
      <c r="D202" s="36"/>
      <c r="E202" s="36"/>
    </row>
    <row r="203">
      <c r="D203" s="36"/>
      <c r="E203" s="36"/>
    </row>
    <row r="204">
      <c r="D204" s="36"/>
      <c r="E204" s="36"/>
    </row>
    <row r="205">
      <c r="D205" s="36"/>
      <c r="E205" s="36"/>
    </row>
    <row r="206">
      <c r="D206" s="36"/>
      <c r="E206" s="36"/>
    </row>
    <row r="207">
      <c r="D207" s="36"/>
      <c r="E207" s="36"/>
    </row>
    <row r="208">
      <c r="D208" s="36"/>
      <c r="E208" s="36"/>
    </row>
    <row r="209">
      <c r="D209" s="36"/>
      <c r="E209" s="36"/>
    </row>
    <row r="210">
      <c r="D210" s="36"/>
      <c r="E210" s="36"/>
    </row>
    <row r="211">
      <c r="D211" s="36"/>
      <c r="E211" s="36"/>
    </row>
    <row r="212">
      <c r="D212" s="36"/>
      <c r="E212" s="36"/>
    </row>
    <row r="213">
      <c r="D213" s="36"/>
      <c r="E213" s="36"/>
    </row>
    <row r="214">
      <c r="D214" s="36"/>
      <c r="E214" s="36"/>
    </row>
    <row r="215">
      <c r="D215" s="36"/>
      <c r="E215" s="36"/>
    </row>
    <row r="216">
      <c r="D216" s="36"/>
      <c r="E216" s="36"/>
    </row>
    <row r="217">
      <c r="D217" s="36"/>
      <c r="E217" s="36"/>
    </row>
    <row r="218">
      <c r="D218" s="36"/>
      <c r="E218" s="36"/>
    </row>
    <row r="219">
      <c r="D219" s="36"/>
      <c r="E219" s="36"/>
    </row>
    <row r="220">
      <c r="D220" s="36"/>
      <c r="E220" s="36"/>
    </row>
    <row r="221">
      <c r="D221" s="36"/>
      <c r="E221" s="36"/>
    </row>
    <row r="222">
      <c r="D222" s="36"/>
      <c r="E222" s="36"/>
    </row>
    <row r="223">
      <c r="D223" s="36"/>
      <c r="E223" s="36"/>
    </row>
    <row r="224">
      <c r="D224" s="36"/>
      <c r="E224" s="36"/>
    </row>
    <row r="225">
      <c r="D225" s="36"/>
      <c r="E225" s="36"/>
    </row>
    <row r="226">
      <c r="D226" s="36"/>
      <c r="E226" s="36"/>
    </row>
    <row r="227">
      <c r="D227" s="36"/>
      <c r="E227" s="36"/>
    </row>
    <row r="228">
      <c r="D228" s="36"/>
      <c r="E228" s="36"/>
    </row>
    <row r="229">
      <c r="D229" s="36"/>
      <c r="E229" s="36"/>
    </row>
    <row r="230">
      <c r="D230" s="36"/>
      <c r="E230" s="36"/>
    </row>
    <row r="231">
      <c r="D231" s="36"/>
      <c r="E231" s="36"/>
    </row>
    <row r="232">
      <c r="D232" s="36"/>
      <c r="E232" s="36"/>
    </row>
    <row r="233">
      <c r="D233" s="36"/>
      <c r="E233" s="36"/>
    </row>
    <row r="234">
      <c r="D234" s="36"/>
      <c r="E234" s="36"/>
    </row>
    <row r="235">
      <c r="D235" s="36"/>
      <c r="E235" s="36"/>
    </row>
    <row r="236">
      <c r="D236" s="36"/>
      <c r="E236" s="36"/>
    </row>
    <row r="237">
      <c r="D237" s="36"/>
      <c r="E237" s="36"/>
    </row>
    <row r="238">
      <c r="D238" s="36"/>
      <c r="E238" s="36"/>
    </row>
    <row r="239">
      <c r="D239" s="36"/>
      <c r="E239" s="36"/>
    </row>
    <row r="240">
      <c r="D240" s="36"/>
      <c r="E240" s="36"/>
    </row>
    <row r="241">
      <c r="D241" s="36"/>
      <c r="E241" s="36"/>
    </row>
    <row r="242">
      <c r="D242" s="36"/>
      <c r="E242" s="36"/>
    </row>
    <row r="243">
      <c r="D243" s="36"/>
      <c r="E243" s="36"/>
    </row>
    <row r="244">
      <c r="D244" s="36"/>
      <c r="E244" s="36"/>
    </row>
    <row r="245">
      <c r="D245" s="36"/>
      <c r="E245" s="36"/>
    </row>
    <row r="246">
      <c r="D246" s="36"/>
      <c r="E246" s="36"/>
    </row>
    <row r="247">
      <c r="D247" s="36"/>
      <c r="E247" s="36"/>
    </row>
    <row r="248">
      <c r="D248" s="36"/>
      <c r="E248" s="36"/>
    </row>
    <row r="249">
      <c r="D249" s="36"/>
      <c r="E249" s="36"/>
    </row>
    <row r="250">
      <c r="D250" s="36"/>
      <c r="E250" s="36"/>
    </row>
    <row r="251">
      <c r="D251" s="36"/>
      <c r="E251" s="36"/>
    </row>
    <row r="252">
      <c r="D252" s="36"/>
      <c r="E252" s="36"/>
    </row>
    <row r="253">
      <c r="D253" s="36"/>
      <c r="E253" s="36"/>
    </row>
    <row r="254">
      <c r="D254" s="36"/>
      <c r="E254" s="36"/>
    </row>
    <row r="255">
      <c r="D255" s="36"/>
      <c r="E255" s="36"/>
    </row>
    <row r="256">
      <c r="D256" s="36"/>
      <c r="E256" s="36"/>
    </row>
    <row r="257">
      <c r="D257" s="36"/>
      <c r="E257" s="36"/>
    </row>
    <row r="258">
      <c r="D258" s="36"/>
      <c r="E258" s="36"/>
    </row>
    <row r="259">
      <c r="D259" s="36"/>
      <c r="E259" s="36"/>
    </row>
    <row r="260">
      <c r="D260" s="36"/>
      <c r="E260" s="36"/>
    </row>
    <row r="261">
      <c r="D261" s="36"/>
      <c r="E261" s="36"/>
    </row>
    <row r="262">
      <c r="D262" s="36"/>
      <c r="E262" s="36"/>
    </row>
    <row r="263">
      <c r="D263" s="36"/>
      <c r="E263" s="36"/>
    </row>
    <row r="264">
      <c r="D264" s="36"/>
      <c r="E264" s="36"/>
    </row>
    <row r="265">
      <c r="D265" s="36"/>
      <c r="E265" s="36"/>
    </row>
    <row r="266">
      <c r="D266" s="36"/>
      <c r="E266" s="36"/>
    </row>
    <row r="267">
      <c r="D267" s="36"/>
      <c r="E267" s="36"/>
    </row>
    <row r="268">
      <c r="D268" s="36"/>
      <c r="E268" s="36"/>
    </row>
    <row r="269">
      <c r="D269" s="36"/>
      <c r="E269" s="36"/>
    </row>
    <row r="270">
      <c r="D270" s="36"/>
      <c r="E270" s="36"/>
    </row>
    <row r="271">
      <c r="D271" s="36"/>
      <c r="E271" s="36"/>
    </row>
    <row r="272">
      <c r="D272" s="36"/>
      <c r="E272" s="36"/>
    </row>
    <row r="273">
      <c r="D273" s="36"/>
      <c r="E273" s="36"/>
    </row>
    <row r="274">
      <c r="D274" s="36"/>
      <c r="E274" s="36"/>
    </row>
    <row r="275">
      <c r="D275" s="36"/>
      <c r="E275" s="36"/>
    </row>
    <row r="276">
      <c r="D276" s="36"/>
      <c r="E276" s="36"/>
    </row>
    <row r="277">
      <c r="D277" s="36"/>
      <c r="E277" s="36"/>
    </row>
    <row r="278">
      <c r="D278" s="36"/>
      <c r="E278" s="36"/>
    </row>
    <row r="279">
      <c r="D279" s="36"/>
      <c r="E279" s="36"/>
    </row>
    <row r="280">
      <c r="D280" s="36"/>
      <c r="E280" s="36"/>
    </row>
    <row r="281">
      <c r="D281" s="36"/>
      <c r="E281" s="36"/>
    </row>
    <row r="282">
      <c r="D282" s="36"/>
      <c r="E282" s="36"/>
    </row>
    <row r="283">
      <c r="D283" s="36"/>
      <c r="E283" s="36"/>
    </row>
    <row r="284">
      <c r="D284" s="36"/>
      <c r="E284" s="36"/>
    </row>
    <row r="285">
      <c r="D285" s="36"/>
      <c r="E285" s="36"/>
    </row>
    <row r="286">
      <c r="D286" s="36"/>
      <c r="E286" s="36"/>
    </row>
    <row r="287">
      <c r="D287" s="36"/>
      <c r="E287" s="36"/>
    </row>
    <row r="288">
      <c r="D288" s="36"/>
      <c r="E288" s="36"/>
    </row>
    <row r="289">
      <c r="D289" s="36"/>
      <c r="E289" s="36"/>
    </row>
    <row r="290">
      <c r="D290" s="36"/>
      <c r="E290" s="36"/>
    </row>
    <row r="291">
      <c r="D291" s="36"/>
      <c r="E291" s="36"/>
    </row>
    <row r="292">
      <c r="D292" s="36"/>
      <c r="E292" s="36"/>
    </row>
    <row r="293">
      <c r="D293" s="36"/>
      <c r="E293" s="36"/>
    </row>
    <row r="294">
      <c r="D294" s="36"/>
      <c r="E294" s="36"/>
    </row>
    <row r="295">
      <c r="D295" s="36"/>
      <c r="E295" s="36"/>
    </row>
    <row r="296">
      <c r="D296" s="36"/>
      <c r="E296" s="36"/>
    </row>
    <row r="297">
      <c r="D297" s="36"/>
      <c r="E297" s="36"/>
    </row>
    <row r="298">
      <c r="D298" s="36"/>
      <c r="E298" s="36"/>
    </row>
    <row r="299">
      <c r="D299" s="36"/>
      <c r="E299" s="36"/>
    </row>
    <row r="300">
      <c r="D300" s="36"/>
      <c r="E300" s="36"/>
    </row>
    <row r="301">
      <c r="D301" s="36"/>
      <c r="E301" s="36"/>
    </row>
    <row r="302">
      <c r="D302" s="36"/>
      <c r="E302" s="36"/>
    </row>
    <row r="303">
      <c r="D303" s="36"/>
      <c r="E303" s="36"/>
    </row>
    <row r="304">
      <c r="D304" s="36"/>
      <c r="E304" s="36"/>
    </row>
    <row r="305">
      <c r="D305" s="36"/>
      <c r="E305" s="36"/>
    </row>
    <row r="306">
      <c r="D306" s="36"/>
      <c r="E306" s="36"/>
    </row>
    <row r="307">
      <c r="D307" s="36"/>
      <c r="E307" s="36"/>
    </row>
    <row r="308">
      <c r="D308" s="36"/>
      <c r="E308" s="36"/>
    </row>
    <row r="309">
      <c r="D309" s="36"/>
      <c r="E309" s="36"/>
    </row>
    <row r="310">
      <c r="D310" s="36"/>
      <c r="E310" s="36"/>
    </row>
    <row r="311">
      <c r="D311" s="36"/>
      <c r="E311" s="36"/>
    </row>
    <row r="312">
      <c r="D312" s="36"/>
      <c r="E312" s="36"/>
    </row>
    <row r="313">
      <c r="D313" s="36"/>
      <c r="E313" s="36"/>
    </row>
    <row r="314">
      <c r="D314" s="36"/>
      <c r="E314" s="36"/>
    </row>
    <row r="315">
      <c r="D315" s="36"/>
      <c r="E315" s="36"/>
    </row>
    <row r="316">
      <c r="D316" s="36"/>
      <c r="E316" s="36"/>
    </row>
    <row r="317">
      <c r="D317" s="36"/>
      <c r="E317" s="36"/>
    </row>
    <row r="318">
      <c r="D318" s="36"/>
      <c r="E318" s="36"/>
    </row>
    <row r="319">
      <c r="D319" s="36"/>
      <c r="E319" s="36"/>
    </row>
    <row r="320">
      <c r="D320" s="36"/>
      <c r="E320" s="36"/>
    </row>
    <row r="321">
      <c r="D321" s="36"/>
      <c r="E321" s="36"/>
    </row>
    <row r="322">
      <c r="D322" s="36"/>
      <c r="E322" s="36"/>
    </row>
    <row r="323">
      <c r="D323" s="36"/>
      <c r="E323" s="36"/>
    </row>
    <row r="324">
      <c r="D324" s="36"/>
      <c r="E324" s="36"/>
    </row>
    <row r="325">
      <c r="D325" s="36"/>
      <c r="E325" s="36"/>
    </row>
    <row r="326">
      <c r="D326" s="36"/>
      <c r="E326" s="36"/>
    </row>
    <row r="327">
      <c r="D327" s="36"/>
      <c r="E327" s="36"/>
    </row>
    <row r="328">
      <c r="D328" s="36"/>
      <c r="E328" s="36"/>
    </row>
    <row r="329">
      <c r="D329" s="36"/>
      <c r="E329" s="36"/>
    </row>
    <row r="330">
      <c r="D330" s="36"/>
      <c r="E330" s="36"/>
    </row>
    <row r="331">
      <c r="D331" s="36"/>
      <c r="E331" s="36"/>
    </row>
    <row r="332">
      <c r="D332" s="36"/>
      <c r="E332" s="36"/>
    </row>
    <row r="333">
      <c r="D333" s="36"/>
      <c r="E333" s="36"/>
    </row>
    <row r="334">
      <c r="D334" s="36"/>
      <c r="E334" s="36"/>
    </row>
    <row r="335">
      <c r="D335" s="36"/>
      <c r="E335" s="36"/>
    </row>
    <row r="336">
      <c r="D336" s="36"/>
      <c r="E336" s="36"/>
    </row>
    <row r="337">
      <c r="D337" s="36"/>
      <c r="E337" s="36"/>
    </row>
    <row r="338">
      <c r="D338" s="36"/>
      <c r="E338" s="36"/>
    </row>
    <row r="339">
      <c r="D339" s="36"/>
      <c r="E339" s="36"/>
    </row>
    <row r="340">
      <c r="D340" s="36"/>
      <c r="E340" s="36"/>
    </row>
    <row r="341">
      <c r="D341" s="36"/>
      <c r="E341" s="36"/>
    </row>
    <row r="342">
      <c r="D342" s="36"/>
      <c r="E342" s="36"/>
    </row>
    <row r="343">
      <c r="D343" s="36"/>
      <c r="E343" s="36"/>
    </row>
    <row r="344">
      <c r="D344" s="36"/>
      <c r="E344" s="36"/>
    </row>
    <row r="345">
      <c r="D345" s="36"/>
      <c r="E345" s="36"/>
    </row>
    <row r="346">
      <c r="D346" s="36"/>
      <c r="E346" s="36"/>
    </row>
    <row r="347">
      <c r="D347" s="36"/>
      <c r="E347" s="36"/>
    </row>
    <row r="348">
      <c r="D348" s="36"/>
      <c r="E348" s="36"/>
    </row>
    <row r="349">
      <c r="D349" s="36"/>
      <c r="E349" s="36"/>
    </row>
    <row r="350">
      <c r="D350" s="36"/>
      <c r="E350" s="36"/>
    </row>
    <row r="351">
      <c r="D351" s="36"/>
      <c r="E351" s="36"/>
    </row>
    <row r="352">
      <c r="D352" s="36"/>
      <c r="E352" s="36"/>
    </row>
    <row r="353">
      <c r="D353" s="36"/>
      <c r="E353" s="36"/>
    </row>
    <row r="354">
      <c r="D354" s="36"/>
      <c r="E354" s="36"/>
    </row>
    <row r="355">
      <c r="D355" s="36"/>
      <c r="E355" s="36"/>
    </row>
    <row r="356">
      <c r="D356" s="36"/>
      <c r="E356" s="36"/>
    </row>
    <row r="357">
      <c r="D357" s="36"/>
      <c r="E357" s="36"/>
    </row>
    <row r="358">
      <c r="D358" s="36"/>
      <c r="E358" s="36"/>
    </row>
    <row r="359">
      <c r="D359" s="36"/>
      <c r="E359" s="36"/>
    </row>
    <row r="360">
      <c r="D360" s="36"/>
      <c r="E360" s="36"/>
    </row>
    <row r="361">
      <c r="D361" s="36"/>
      <c r="E361" s="36"/>
    </row>
    <row r="362">
      <c r="D362" s="36"/>
      <c r="E362" s="36"/>
    </row>
    <row r="363">
      <c r="D363" s="36"/>
      <c r="E363" s="36"/>
    </row>
    <row r="364">
      <c r="D364" s="36"/>
      <c r="E364" s="36"/>
    </row>
    <row r="365">
      <c r="D365" s="36"/>
      <c r="E365" s="36"/>
    </row>
    <row r="366">
      <c r="D366" s="36"/>
      <c r="E366" s="36"/>
    </row>
    <row r="367">
      <c r="D367" s="36"/>
      <c r="E367" s="36"/>
    </row>
    <row r="368">
      <c r="D368" s="36"/>
      <c r="E368" s="36"/>
    </row>
    <row r="369">
      <c r="D369" s="36"/>
      <c r="E369" s="36"/>
    </row>
    <row r="370">
      <c r="D370" s="36"/>
      <c r="E370" s="36"/>
    </row>
    <row r="371">
      <c r="D371" s="36"/>
      <c r="E371" s="36"/>
    </row>
    <row r="372">
      <c r="D372" s="36"/>
      <c r="E372" s="36"/>
    </row>
    <row r="373">
      <c r="D373" s="36"/>
      <c r="E373" s="36"/>
    </row>
    <row r="374">
      <c r="D374" s="36"/>
      <c r="E374" s="36"/>
    </row>
    <row r="375">
      <c r="D375" s="36"/>
      <c r="E375" s="36"/>
    </row>
    <row r="376">
      <c r="D376" s="36"/>
      <c r="E376" s="36"/>
    </row>
    <row r="377">
      <c r="D377" s="36"/>
      <c r="E377" s="36"/>
    </row>
    <row r="378">
      <c r="D378" s="36"/>
      <c r="E378" s="36"/>
    </row>
    <row r="379">
      <c r="D379" s="36"/>
      <c r="E379" s="36"/>
    </row>
    <row r="380">
      <c r="D380" s="36"/>
      <c r="E380" s="36"/>
    </row>
    <row r="381">
      <c r="D381" s="36"/>
      <c r="E381" s="36"/>
    </row>
    <row r="382">
      <c r="D382" s="36"/>
      <c r="E382" s="36"/>
    </row>
    <row r="383">
      <c r="D383" s="36"/>
      <c r="E383" s="36"/>
    </row>
    <row r="384">
      <c r="D384" s="36"/>
      <c r="E384" s="36"/>
    </row>
    <row r="385">
      <c r="D385" s="36"/>
      <c r="E385" s="36"/>
    </row>
    <row r="386">
      <c r="D386" s="36"/>
      <c r="E386" s="36"/>
    </row>
    <row r="387">
      <c r="D387" s="36"/>
      <c r="E387" s="36"/>
    </row>
    <row r="388">
      <c r="D388" s="36"/>
      <c r="E388" s="36"/>
    </row>
    <row r="389">
      <c r="D389" s="36"/>
      <c r="E389" s="36"/>
    </row>
    <row r="390">
      <c r="D390" s="36"/>
      <c r="E390" s="36"/>
    </row>
    <row r="391">
      <c r="D391" s="36"/>
      <c r="E391" s="36"/>
    </row>
    <row r="392">
      <c r="D392" s="36"/>
      <c r="E392" s="36"/>
    </row>
    <row r="393">
      <c r="D393" s="36"/>
      <c r="E393" s="36"/>
    </row>
    <row r="394">
      <c r="D394" s="36"/>
      <c r="E394" s="36"/>
    </row>
    <row r="395">
      <c r="D395" s="36"/>
      <c r="E395" s="36"/>
    </row>
    <row r="396">
      <c r="D396" s="36"/>
      <c r="E396" s="36"/>
    </row>
    <row r="397">
      <c r="D397" s="36"/>
      <c r="E397" s="36"/>
    </row>
    <row r="398">
      <c r="D398" s="36"/>
      <c r="E398" s="36"/>
    </row>
    <row r="399">
      <c r="D399" s="36"/>
      <c r="E399" s="36"/>
    </row>
    <row r="400">
      <c r="D400" s="36"/>
      <c r="E400" s="36"/>
    </row>
    <row r="401">
      <c r="D401" s="36"/>
      <c r="E401" s="36"/>
    </row>
    <row r="402">
      <c r="D402" s="36"/>
      <c r="E402" s="36"/>
    </row>
    <row r="403">
      <c r="D403" s="36"/>
      <c r="E403" s="36"/>
    </row>
    <row r="404">
      <c r="D404" s="36"/>
      <c r="E404" s="36"/>
    </row>
    <row r="405">
      <c r="D405" s="36"/>
      <c r="E405" s="36"/>
    </row>
    <row r="406">
      <c r="D406" s="36"/>
      <c r="E406" s="36"/>
    </row>
    <row r="407">
      <c r="D407" s="36"/>
      <c r="E407" s="36"/>
    </row>
    <row r="408">
      <c r="D408" s="36"/>
      <c r="E408" s="36"/>
    </row>
    <row r="409">
      <c r="D409" s="36"/>
      <c r="E409" s="36"/>
    </row>
    <row r="410">
      <c r="D410" s="36"/>
      <c r="E410" s="36"/>
    </row>
    <row r="411">
      <c r="D411" s="36"/>
      <c r="E411" s="36"/>
    </row>
    <row r="412">
      <c r="D412" s="36"/>
      <c r="E412" s="36"/>
    </row>
    <row r="413">
      <c r="D413" s="36"/>
      <c r="E413" s="36"/>
    </row>
    <row r="414">
      <c r="D414" s="36"/>
      <c r="E414" s="36"/>
    </row>
    <row r="415">
      <c r="D415" s="36"/>
      <c r="E415" s="36"/>
    </row>
    <row r="416">
      <c r="D416" s="36"/>
      <c r="E416" s="36"/>
    </row>
    <row r="417">
      <c r="D417" s="36"/>
      <c r="E417" s="36"/>
    </row>
    <row r="418">
      <c r="D418" s="36"/>
      <c r="E418" s="36"/>
    </row>
    <row r="419">
      <c r="D419" s="36"/>
      <c r="E419" s="36"/>
    </row>
    <row r="420">
      <c r="D420" s="36"/>
      <c r="E420" s="36"/>
    </row>
    <row r="421">
      <c r="D421" s="36"/>
      <c r="E421" s="36"/>
    </row>
    <row r="422">
      <c r="D422" s="36"/>
      <c r="E422" s="36"/>
    </row>
    <row r="423">
      <c r="D423" s="36"/>
      <c r="E423" s="36"/>
    </row>
    <row r="424">
      <c r="D424" s="36"/>
      <c r="E424" s="36"/>
    </row>
    <row r="425">
      <c r="D425" s="36"/>
      <c r="E425" s="36"/>
    </row>
    <row r="426">
      <c r="D426" s="36"/>
      <c r="E426" s="36"/>
    </row>
    <row r="427">
      <c r="D427" s="36"/>
      <c r="E427" s="36"/>
    </row>
    <row r="428">
      <c r="D428" s="36"/>
      <c r="E428" s="36"/>
    </row>
    <row r="429">
      <c r="D429" s="36"/>
      <c r="E429" s="36"/>
    </row>
    <row r="430">
      <c r="D430" s="36"/>
      <c r="E430" s="36"/>
    </row>
    <row r="431">
      <c r="D431" s="36"/>
      <c r="E431" s="36"/>
    </row>
    <row r="432">
      <c r="D432" s="36"/>
      <c r="E432" s="36"/>
    </row>
    <row r="433">
      <c r="D433" s="36"/>
      <c r="E433" s="36"/>
    </row>
    <row r="434">
      <c r="D434" s="36"/>
      <c r="E434" s="36"/>
    </row>
    <row r="435">
      <c r="D435" s="36"/>
      <c r="E435" s="36"/>
    </row>
    <row r="436">
      <c r="D436" s="36"/>
      <c r="E436" s="36"/>
    </row>
    <row r="437">
      <c r="D437" s="36"/>
      <c r="E437" s="36"/>
    </row>
    <row r="438">
      <c r="D438" s="36"/>
      <c r="E438" s="36"/>
    </row>
    <row r="439">
      <c r="D439" s="36"/>
      <c r="E439" s="36"/>
    </row>
    <row r="440">
      <c r="D440" s="36"/>
      <c r="E440" s="36"/>
    </row>
    <row r="441">
      <c r="D441" s="36"/>
      <c r="E441" s="36"/>
    </row>
    <row r="442">
      <c r="D442" s="36"/>
      <c r="E442" s="36"/>
    </row>
    <row r="443">
      <c r="D443" s="36"/>
      <c r="E443" s="36"/>
    </row>
    <row r="444">
      <c r="D444" s="36"/>
      <c r="E444" s="36"/>
    </row>
    <row r="445">
      <c r="D445" s="36"/>
      <c r="E445" s="36"/>
    </row>
    <row r="446">
      <c r="D446" s="36"/>
      <c r="E446" s="36"/>
    </row>
    <row r="447">
      <c r="D447" s="36"/>
      <c r="E447" s="36"/>
    </row>
    <row r="448">
      <c r="D448" s="36"/>
      <c r="E448" s="36"/>
    </row>
    <row r="449">
      <c r="D449" s="36"/>
      <c r="E449" s="36"/>
    </row>
    <row r="450">
      <c r="D450" s="36"/>
      <c r="E450" s="36"/>
    </row>
    <row r="451">
      <c r="D451" s="36"/>
      <c r="E451" s="36"/>
    </row>
    <row r="452">
      <c r="D452" s="36"/>
      <c r="E452" s="36"/>
    </row>
    <row r="453">
      <c r="D453" s="36"/>
      <c r="E453" s="36"/>
    </row>
    <row r="454">
      <c r="D454" s="36"/>
      <c r="E454" s="36"/>
    </row>
    <row r="455">
      <c r="D455" s="36"/>
      <c r="E455" s="36"/>
    </row>
    <row r="456">
      <c r="D456" s="36"/>
      <c r="E456" s="36"/>
    </row>
    <row r="457">
      <c r="D457" s="36"/>
      <c r="E457" s="36"/>
    </row>
    <row r="458">
      <c r="D458" s="36"/>
      <c r="E458" s="36"/>
    </row>
    <row r="459">
      <c r="D459" s="36"/>
      <c r="E459" s="36"/>
    </row>
    <row r="460">
      <c r="D460" s="36"/>
      <c r="E460" s="36"/>
    </row>
    <row r="461">
      <c r="D461" s="36"/>
      <c r="E461" s="36"/>
    </row>
    <row r="462">
      <c r="D462" s="36"/>
      <c r="E462" s="36"/>
    </row>
    <row r="463">
      <c r="D463" s="36"/>
      <c r="E463" s="36"/>
    </row>
    <row r="464">
      <c r="D464" s="36"/>
      <c r="E464" s="36"/>
    </row>
    <row r="465">
      <c r="D465" s="36"/>
      <c r="E465" s="36"/>
    </row>
    <row r="466">
      <c r="D466" s="36"/>
      <c r="E466" s="36"/>
    </row>
    <row r="467">
      <c r="D467" s="36"/>
      <c r="E467" s="36"/>
    </row>
    <row r="468">
      <c r="D468" s="36"/>
      <c r="E468" s="36"/>
    </row>
    <row r="469">
      <c r="D469" s="36"/>
      <c r="E469" s="36"/>
    </row>
    <row r="470">
      <c r="D470" s="36"/>
      <c r="E470" s="36"/>
    </row>
    <row r="471">
      <c r="D471" s="36"/>
      <c r="E471" s="36"/>
    </row>
    <row r="472">
      <c r="D472" s="36"/>
      <c r="E472" s="36"/>
    </row>
    <row r="473">
      <c r="D473" s="36"/>
      <c r="E473" s="36"/>
    </row>
    <row r="474">
      <c r="D474" s="36"/>
      <c r="E474" s="36"/>
    </row>
    <row r="475">
      <c r="D475" s="36"/>
      <c r="E475" s="36"/>
    </row>
    <row r="476">
      <c r="D476" s="36"/>
      <c r="E476" s="36"/>
    </row>
    <row r="477">
      <c r="D477" s="36"/>
      <c r="E477" s="36"/>
    </row>
    <row r="478">
      <c r="D478" s="36"/>
      <c r="E478" s="36"/>
    </row>
    <row r="479">
      <c r="D479" s="36"/>
      <c r="E479" s="36"/>
    </row>
    <row r="480">
      <c r="D480" s="36"/>
      <c r="E480" s="36"/>
    </row>
    <row r="481">
      <c r="D481" s="36"/>
      <c r="E481" s="36"/>
    </row>
    <row r="482">
      <c r="D482" s="36"/>
      <c r="E482" s="36"/>
    </row>
    <row r="483">
      <c r="D483" s="36"/>
      <c r="E483" s="36"/>
    </row>
    <row r="484">
      <c r="D484" s="36"/>
      <c r="E484" s="36"/>
    </row>
    <row r="485">
      <c r="D485" s="36"/>
      <c r="E485" s="36"/>
    </row>
    <row r="486">
      <c r="D486" s="36"/>
      <c r="E486" s="36"/>
    </row>
    <row r="487">
      <c r="D487" s="36"/>
      <c r="E487" s="36"/>
    </row>
    <row r="488">
      <c r="D488" s="36"/>
      <c r="E488" s="36"/>
    </row>
    <row r="489">
      <c r="D489" s="36"/>
      <c r="E489" s="36"/>
    </row>
    <row r="490">
      <c r="D490" s="36"/>
      <c r="E490" s="36"/>
    </row>
    <row r="491">
      <c r="D491" s="36"/>
      <c r="E491" s="36"/>
    </row>
    <row r="492">
      <c r="D492" s="36"/>
      <c r="E492" s="36"/>
    </row>
    <row r="493">
      <c r="D493" s="36"/>
      <c r="E493" s="36"/>
    </row>
    <row r="494">
      <c r="D494" s="36"/>
      <c r="E494" s="36"/>
    </row>
    <row r="495">
      <c r="D495" s="36"/>
      <c r="E495" s="36"/>
    </row>
    <row r="496">
      <c r="D496" s="36"/>
      <c r="E496" s="36"/>
    </row>
    <row r="497">
      <c r="D497" s="36"/>
      <c r="E497" s="36"/>
    </row>
    <row r="498">
      <c r="D498" s="36"/>
      <c r="E498" s="36"/>
    </row>
    <row r="499">
      <c r="D499" s="36"/>
      <c r="E499" s="36"/>
    </row>
    <row r="500">
      <c r="D500" s="36"/>
      <c r="E500" s="36"/>
    </row>
    <row r="501">
      <c r="D501" s="36"/>
      <c r="E501" s="36"/>
    </row>
    <row r="502">
      <c r="D502" s="36"/>
      <c r="E502" s="36"/>
    </row>
    <row r="503">
      <c r="D503" s="36"/>
      <c r="E503" s="36"/>
    </row>
    <row r="504">
      <c r="D504" s="36"/>
      <c r="E504" s="36"/>
    </row>
    <row r="505">
      <c r="D505" s="36"/>
      <c r="E505" s="36"/>
    </row>
    <row r="506">
      <c r="D506" s="36"/>
      <c r="E506" s="36"/>
    </row>
    <row r="507">
      <c r="D507" s="36"/>
      <c r="E507" s="36"/>
    </row>
    <row r="508">
      <c r="D508" s="36"/>
      <c r="E508" s="36"/>
    </row>
    <row r="509">
      <c r="D509" s="36"/>
      <c r="E509" s="36"/>
    </row>
    <row r="510">
      <c r="D510" s="36"/>
      <c r="E510" s="36"/>
    </row>
    <row r="511">
      <c r="D511" s="36"/>
      <c r="E511" s="36"/>
    </row>
    <row r="512">
      <c r="D512" s="36"/>
      <c r="E512" s="36"/>
    </row>
    <row r="513">
      <c r="D513" s="36"/>
      <c r="E513" s="36"/>
    </row>
    <row r="514">
      <c r="D514" s="36"/>
      <c r="E514" s="36"/>
    </row>
    <row r="515">
      <c r="D515" s="36"/>
      <c r="E515" s="36"/>
    </row>
    <row r="516">
      <c r="D516" s="36"/>
      <c r="E516" s="36"/>
    </row>
    <row r="517">
      <c r="D517" s="36"/>
      <c r="E517" s="36"/>
    </row>
    <row r="518">
      <c r="D518" s="36"/>
      <c r="E518" s="36"/>
    </row>
    <row r="519">
      <c r="D519" s="36"/>
      <c r="E519" s="36"/>
    </row>
    <row r="520">
      <c r="D520" s="36"/>
      <c r="E520" s="36"/>
    </row>
    <row r="521">
      <c r="D521" s="36"/>
      <c r="E521" s="36"/>
    </row>
    <row r="522">
      <c r="D522" s="36"/>
      <c r="E522" s="36"/>
    </row>
    <row r="523">
      <c r="D523" s="36"/>
      <c r="E523" s="36"/>
    </row>
    <row r="524">
      <c r="D524" s="36"/>
      <c r="E524" s="36"/>
    </row>
    <row r="525">
      <c r="D525" s="36"/>
      <c r="E525" s="36"/>
    </row>
    <row r="526">
      <c r="D526" s="36"/>
      <c r="E526" s="36"/>
    </row>
    <row r="527">
      <c r="D527" s="36"/>
      <c r="E527" s="36"/>
    </row>
    <row r="528">
      <c r="D528" s="36"/>
      <c r="E528" s="36"/>
    </row>
    <row r="529">
      <c r="D529" s="36"/>
      <c r="E529" s="36"/>
    </row>
    <row r="530">
      <c r="D530" s="36"/>
      <c r="E530" s="36"/>
    </row>
    <row r="531">
      <c r="D531" s="36"/>
      <c r="E531" s="36"/>
    </row>
    <row r="532">
      <c r="D532" s="36"/>
      <c r="E532" s="36"/>
    </row>
    <row r="533">
      <c r="D533" s="36"/>
      <c r="E533" s="36"/>
    </row>
    <row r="534">
      <c r="D534" s="36"/>
      <c r="E534" s="36"/>
    </row>
    <row r="535">
      <c r="D535" s="36"/>
      <c r="E535" s="36"/>
    </row>
    <row r="536">
      <c r="D536" s="36"/>
      <c r="E536" s="36"/>
    </row>
    <row r="537">
      <c r="D537" s="36"/>
      <c r="E537" s="36"/>
    </row>
    <row r="538">
      <c r="D538" s="36"/>
      <c r="E538" s="36"/>
    </row>
    <row r="539">
      <c r="D539" s="36"/>
      <c r="E539" s="36"/>
    </row>
    <row r="540">
      <c r="D540" s="36"/>
      <c r="E540" s="36"/>
    </row>
    <row r="541">
      <c r="D541" s="36"/>
      <c r="E541" s="36"/>
    </row>
    <row r="542">
      <c r="D542" s="36"/>
      <c r="E542" s="36"/>
    </row>
    <row r="543">
      <c r="D543" s="36"/>
      <c r="E543" s="36"/>
    </row>
    <row r="544">
      <c r="D544" s="36"/>
      <c r="E544" s="36"/>
    </row>
    <row r="545">
      <c r="D545" s="36"/>
      <c r="E545" s="36"/>
    </row>
    <row r="546">
      <c r="D546" s="36"/>
      <c r="E546" s="36"/>
    </row>
    <row r="547">
      <c r="D547" s="36"/>
      <c r="E547" s="36"/>
    </row>
    <row r="548">
      <c r="D548" s="36"/>
      <c r="E548" s="36"/>
    </row>
    <row r="549">
      <c r="D549" s="36"/>
      <c r="E549" s="36"/>
    </row>
    <row r="550">
      <c r="D550" s="36"/>
      <c r="E550" s="36"/>
    </row>
    <row r="551">
      <c r="D551" s="36"/>
      <c r="E551" s="36"/>
    </row>
    <row r="552">
      <c r="D552" s="36"/>
      <c r="E552" s="36"/>
    </row>
    <row r="553">
      <c r="D553" s="36"/>
      <c r="E553" s="36"/>
    </row>
    <row r="554">
      <c r="D554" s="36"/>
      <c r="E554" s="36"/>
    </row>
    <row r="555">
      <c r="D555" s="36"/>
      <c r="E555" s="36"/>
    </row>
    <row r="556">
      <c r="D556" s="36"/>
      <c r="E556" s="36"/>
    </row>
    <row r="557">
      <c r="D557" s="36"/>
      <c r="E557" s="36"/>
    </row>
    <row r="558">
      <c r="D558" s="36"/>
      <c r="E558" s="36"/>
    </row>
    <row r="559">
      <c r="D559" s="36"/>
      <c r="E559" s="36"/>
    </row>
    <row r="560">
      <c r="D560" s="36"/>
      <c r="E560" s="36"/>
    </row>
    <row r="561">
      <c r="D561" s="36"/>
      <c r="E561" s="36"/>
    </row>
    <row r="562">
      <c r="D562" s="36"/>
      <c r="E562" s="36"/>
    </row>
    <row r="563">
      <c r="D563" s="36"/>
      <c r="E563" s="36"/>
    </row>
    <row r="564">
      <c r="D564" s="36"/>
      <c r="E564" s="36"/>
    </row>
    <row r="565">
      <c r="D565" s="36"/>
      <c r="E565" s="36"/>
    </row>
    <row r="566">
      <c r="D566" s="36"/>
      <c r="E566" s="36"/>
    </row>
    <row r="567">
      <c r="D567" s="36"/>
      <c r="E567" s="36"/>
    </row>
    <row r="568">
      <c r="D568" s="36"/>
      <c r="E568" s="36"/>
    </row>
    <row r="569">
      <c r="D569" s="36"/>
      <c r="E569" s="36"/>
    </row>
    <row r="570">
      <c r="D570" s="36"/>
      <c r="E570" s="36"/>
    </row>
    <row r="571">
      <c r="D571" s="36"/>
      <c r="E571" s="36"/>
    </row>
    <row r="572">
      <c r="D572" s="36"/>
      <c r="E572" s="36"/>
    </row>
    <row r="573">
      <c r="D573" s="36"/>
      <c r="E573" s="36"/>
    </row>
    <row r="574">
      <c r="D574" s="36"/>
      <c r="E574" s="36"/>
    </row>
    <row r="575">
      <c r="D575" s="36"/>
      <c r="E575" s="36"/>
    </row>
    <row r="576">
      <c r="D576" s="36"/>
      <c r="E576" s="36"/>
    </row>
    <row r="577">
      <c r="D577" s="36"/>
      <c r="E577" s="36"/>
    </row>
    <row r="578">
      <c r="D578" s="36"/>
      <c r="E578" s="36"/>
    </row>
    <row r="579">
      <c r="D579" s="36"/>
      <c r="E579" s="36"/>
    </row>
    <row r="580">
      <c r="D580" s="36"/>
      <c r="E580" s="36"/>
    </row>
    <row r="581">
      <c r="D581" s="36"/>
      <c r="E581" s="36"/>
    </row>
    <row r="582">
      <c r="D582" s="36"/>
      <c r="E582" s="36"/>
    </row>
    <row r="583">
      <c r="D583" s="36"/>
      <c r="E583" s="36"/>
    </row>
    <row r="584">
      <c r="D584" s="36"/>
      <c r="E584" s="36"/>
    </row>
    <row r="585">
      <c r="D585" s="36"/>
      <c r="E585" s="36"/>
    </row>
    <row r="586">
      <c r="D586" s="36"/>
      <c r="E586" s="36"/>
    </row>
    <row r="587">
      <c r="D587" s="36"/>
      <c r="E587" s="36"/>
    </row>
    <row r="588">
      <c r="D588" s="36"/>
      <c r="E588" s="36"/>
    </row>
    <row r="589">
      <c r="D589" s="36"/>
      <c r="E589" s="36"/>
    </row>
    <row r="590">
      <c r="D590" s="36"/>
      <c r="E590" s="36"/>
    </row>
    <row r="591">
      <c r="D591" s="36"/>
      <c r="E591" s="36"/>
    </row>
    <row r="592">
      <c r="D592" s="36"/>
      <c r="E592" s="36"/>
    </row>
    <row r="593">
      <c r="D593" s="36"/>
      <c r="E593" s="36"/>
    </row>
    <row r="594">
      <c r="D594" s="36"/>
      <c r="E594" s="36"/>
    </row>
    <row r="595">
      <c r="D595" s="36"/>
      <c r="E595" s="36"/>
    </row>
    <row r="596">
      <c r="D596" s="36"/>
      <c r="E596" s="36"/>
    </row>
    <row r="597">
      <c r="D597" s="36"/>
      <c r="E597" s="36"/>
    </row>
    <row r="598">
      <c r="D598" s="36"/>
      <c r="E598" s="36"/>
    </row>
    <row r="599">
      <c r="D599" s="36"/>
      <c r="E599" s="36"/>
    </row>
    <row r="600">
      <c r="D600" s="36"/>
      <c r="E600" s="36"/>
    </row>
    <row r="601">
      <c r="D601" s="36"/>
      <c r="E601" s="36"/>
    </row>
    <row r="602">
      <c r="D602" s="36"/>
      <c r="E602" s="36"/>
    </row>
    <row r="603">
      <c r="D603" s="36"/>
      <c r="E603" s="36"/>
    </row>
    <row r="604">
      <c r="D604" s="36"/>
      <c r="E604" s="36"/>
    </row>
    <row r="605">
      <c r="D605" s="36"/>
      <c r="E605" s="36"/>
    </row>
    <row r="606">
      <c r="D606" s="36"/>
      <c r="E606" s="36"/>
    </row>
    <row r="607">
      <c r="D607" s="36"/>
      <c r="E607" s="36"/>
    </row>
    <row r="608">
      <c r="D608" s="36"/>
      <c r="E608" s="36"/>
    </row>
    <row r="609">
      <c r="D609" s="36"/>
      <c r="E609" s="36"/>
    </row>
    <row r="610">
      <c r="D610" s="36"/>
      <c r="E610" s="36"/>
    </row>
    <row r="611">
      <c r="D611" s="36"/>
      <c r="E611" s="36"/>
    </row>
    <row r="612">
      <c r="D612" s="36"/>
      <c r="E612" s="36"/>
    </row>
    <row r="613">
      <c r="D613" s="36"/>
      <c r="E613" s="36"/>
    </row>
    <row r="614">
      <c r="D614" s="36"/>
      <c r="E614" s="36"/>
    </row>
    <row r="615">
      <c r="D615" s="36"/>
      <c r="E615" s="36"/>
    </row>
    <row r="616">
      <c r="D616" s="36"/>
      <c r="E616" s="36"/>
    </row>
    <row r="617">
      <c r="D617" s="36"/>
      <c r="E617" s="36"/>
    </row>
    <row r="618">
      <c r="D618" s="36"/>
      <c r="E618" s="36"/>
    </row>
    <row r="619">
      <c r="D619" s="36"/>
      <c r="E619" s="36"/>
    </row>
    <row r="620">
      <c r="D620" s="36"/>
      <c r="E620" s="36"/>
    </row>
    <row r="621">
      <c r="D621" s="36"/>
      <c r="E621" s="36"/>
    </row>
    <row r="622">
      <c r="D622" s="36"/>
      <c r="E622" s="36"/>
    </row>
    <row r="623">
      <c r="D623" s="36"/>
      <c r="E623" s="36"/>
    </row>
    <row r="624">
      <c r="D624" s="36"/>
      <c r="E624" s="36"/>
    </row>
    <row r="625">
      <c r="D625" s="36"/>
      <c r="E625" s="36"/>
    </row>
    <row r="626">
      <c r="D626" s="36"/>
      <c r="E626" s="36"/>
    </row>
    <row r="627">
      <c r="D627" s="36"/>
      <c r="E627" s="36"/>
    </row>
    <row r="628">
      <c r="D628" s="36"/>
      <c r="E628" s="36"/>
    </row>
    <row r="629">
      <c r="D629" s="36"/>
      <c r="E629" s="36"/>
    </row>
    <row r="630">
      <c r="D630" s="36"/>
      <c r="E630" s="36"/>
    </row>
    <row r="631">
      <c r="D631" s="36"/>
      <c r="E631" s="36"/>
    </row>
    <row r="632">
      <c r="D632" s="36"/>
      <c r="E632" s="36"/>
    </row>
    <row r="633">
      <c r="D633" s="36"/>
      <c r="E633" s="36"/>
    </row>
    <row r="634">
      <c r="D634" s="36"/>
      <c r="E634" s="36"/>
    </row>
    <row r="635">
      <c r="D635" s="36"/>
      <c r="E635" s="36"/>
    </row>
    <row r="636">
      <c r="D636" s="36"/>
      <c r="E636" s="36"/>
    </row>
    <row r="637">
      <c r="D637" s="36"/>
      <c r="E637" s="36"/>
    </row>
    <row r="638">
      <c r="D638" s="36"/>
      <c r="E638" s="36"/>
    </row>
    <row r="639">
      <c r="D639" s="36"/>
      <c r="E639" s="36"/>
    </row>
    <row r="640">
      <c r="D640" s="36"/>
      <c r="E640" s="36"/>
    </row>
    <row r="641">
      <c r="D641" s="36"/>
      <c r="E641" s="36"/>
    </row>
    <row r="642">
      <c r="D642" s="36"/>
      <c r="E642" s="36"/>
    </row>
    <row r="643">
      <c r="D643" s="36"/>
      <c r="E643" s="36"/>
    </row>
    <row r="644">
      <c r="D644" s="36"/>
      <c r="E644" s="36"/>
    </row>
    <row r="645">
      <c r="D645" s="36"/>
      <c r="E645" s="36"/>
    </row>
    <row r="646">
      <c r="D646" s="36"/>
      <c r="E646" s="36"/>
    </row>
    <row r="647">
      <c r="D647" s="36"/>
      <c r="E647" s="36"/>
    </row>
    <row r="648">
      <c r="D648" s="36"/>
      <c r="E648" s="36"/>
    </row>
    <row r="649">
      <c r="D649" s="36"/>
      <c r="E649" s="36"/>
    </row>
    <row r="650">
      <c r="D650" s="36"/>
      <c r="E650" s="36"/>
    </row>
    <row r="651">
      <c r="D651" s="36"/>
      <c r="E651" s="36"/>
    </row>
    <row r="652">
      <c r="D652" s="36"/>
      <c r="E652" s="36"/>
    </row>
    <row r="653">
      <c r="D653" s="36"/>
      <c r="E653" s="36"/>
    </row>
    <row r="654">
      <c r="D654" s="36"/>
      <c r="E654" s="36"/>
    </row>
    <row r="655">
      <c r="D655" s="36"/>
      <c r="E655" s="36"/>
    </row>
    <row r="656">
      <c r="D656" s="36"/>
      <c r="E656" s="36"/>
    </row>
    <row r="657">
      <c r="D657" s="36"/>
      <c r="E657" s="36"/>
    </row>
    <row r="658">
      <c r="D658" s="36"/>
      <c r="E658" s="36"/>
    </row>
    <row r="659">
      <c r="D659" s="36"/>
      <c r="E659" s="36"/>
    </row>
    <row r="660">
      <c r="D660" s="36"/>
      <c r="E660" s="36"/>
    </row>
    <row r="661">
      <c r="D661" s="36"/>
      <c r="E661" s="36"/>
    </row>
    <row r="662">
      <c r="D662" s="36"/>
      <c r="E662" s="36"/>
    </row>
    <row r="663">
      <c r="D663" s="36"/>
      <c r="E663" s="36"/>
    </row>
    <row r="664">
      <c r="D664" s="36"/>
      <c r="E664" s="36"/>
    </row>
    <row r="665">
      <c r="D665" s="36"/>
      <c r="E665" s="36"/>
    </row>
    <row r="666">
      <c r="D666" s="36"/>
      <c r="E666" s="36"/>
    </row>
    <row r="667">
      <c r="D667" s="36"/>
      <c r="E667" s="36"/>
    </row>
    <row r="668">
      <c r="D668" s="36"/>
      <c r="E668" s="36"/>
    </row>
    <row r="669">
      <c r="D669" s="36"/>
      <c r="E669" s="36"/>
    </row>
    <row r="670">
      <c r="D670" s="36"/>
      <c r="E670" s="36"/>
    </row>
    <row r="671">
      <c r="D671" s="36"/>
      <c r="E671" s="36"/>
    </row>
    <row r="672">
      <c r="D672" s="36"/>
      <c r="E672" s="36"/>
    </row>
    <row r="673">
      <c r="D673" s="36"/>
      <c r="E673" s="36"/>
    </row>
    <row r="674">
      <c r="D674" s="36"/>
      <c r="E674" s="36"/>
    </row>
    <row r="675">
      <c r="D675" s="36"/>
      <c r="E675" s="36"/>
    </row>
    <row r="676">
      <c r="D676" s="36"/>
      <c r="E676" s="36"/>
    </row>
    <row r="677">
      <c r="D677" s="36"/>
      <c r="E677" s="36"/>
    </row>
    <row r="678">
      <c r="D678" s="36"/>
      <c r="E678" s="36"/>
    </row>
    <row r="679">
      <c r="D679" s="36"/>
      <c r="E679" s="36"/>
    </row>
    <row r="680">
      <c r="D680" s="36"/>
      <c r="E680" s="36"/>
    </row>
    <row r="681">
      <c r="D681" s="36"/>
      <c r="E681" s="36"/>
    </row>
    <row r="682">
      <c r="D682" s="36"/>
      <c r="E682" s="36"/>
    </row>
    <row r="683">
      <c r="D683" s="36"/>
      <c r="E683" s="36"/>
    </row>
    <row r="684">
      <c r="D684" s="36"/>
      <c r="E684" s="36"/>
    </row>
    <row r="685">
      <c r="D685" s="36"/>
      <c r="E685" s="36"/>
    </row>
    <row r="686">
      <c r="D686" s="36"/>
      <c r="E686" s="36"/>
    </row>
    <row r="687">
      <c r="D687" s="36"/>
      <c r="E687" s="36"/>
    </row>
    <row r="688">
      <c r="D688" s="36"/>
      <c r="E688" s="36"/>
    </row>
    <row r="689">
      <c r="D689" s="36"/>
      <c r="E689" s="36"/>
    </row>
    <row r="690">
      <c r="D690" s="36"/>
      <c r="E690" s="36"/>
    </row>
    <row r="691">
      <c r="D691" s="36"/>
      <c r="E691" s="36"/>
    </row>
    <row r="692">
      <c r="D692" s="36"/>
      <c r="E692" s="36"/>
    </row>
    <row r="693">
      <c r="D693" s="36"/>
      <c r="E693" s="36"/>
    </row>
    <row r="694">
      <c r="D694" s="36"/>
      <c r="E694" s="36"/>
    </row>
    <row r="695">
      <c r="D695" s="36"/>
      <c r="E695" s="36"/>
    </row>
    <row r="696">
      <c r="D696" s="36"/>
      <c r="E696" s="36"/>
    </row>
    <row r="697">
      <c r="D697" s="36"/>
      <c r="E697" s="36"/>
    </row>
    <row r="698">
      <c r="D698" s="36"/>
      <c r="E698" s="36"/>
    </row>
    <row r="699">
      <c r="D699" s="36"/>
      <c r="E699" s="36"/>
    </row>
    <row r="700">
      <c r="D700" s="36"/>
      <c r="E700" s="36"/>
    </row>
    <row r="701">
      <c r="D701" s="36"/>
      <c r="E701" s="36"/>
    </row>
    <row r="702">
      <c r="D702" s="36"/>
      <c r="E702" s="36"/>
    </row>
    <row r="703">
      <c r="D703" s="36"/>
      <c r="E703" s="36"/>
    </row>
    <row r="704">
      <c r="D704" s="36"/>
      <c r="E704" s="36"/>
    </row>
    <row r="705">
      <c r="D705" s="36"/>
      <c r="E705" s="36"/>
    </row>
    <row r="706">
      <c r="D706" s="36"/>
      <c r="E706" s="36"/>
    </row>
    <row r="707">
      <c r="D707" s="36"/>
      <c r="E707" s="36"/>
    </row>
    <row r="708">
      <c r="D708" s="36"/>
      <c r="E708" s="36"/>
    </row>
    <row r="709">
      <c r="D709" s="36"/>
      <c r="E709" s="36"/>
    </row>
    <row r="710">
      <c r="D710" s="36"/>
      <c r="E710" s="36"/>
    </row>
    <row r="711">
      <c r="D711" s="36"/>
      <c r="E711" s="36"/>
    </row>
    <row r="712">
      <c r="D712" s="36"/>
      <c r="E712" s="36"/>
    </row>
    <row r="713">
      <c r="D713" s="36"/>
      <c r="E713" s="36"/>
    </row>
    <row r="714">
      <c r="D714" s="36"/>
      <c r="E714" s="36"/>
    </row>
    <row r="715">
      <c r="D715" s="36"/>
      <c r="E715" s="36"/>
    </row>
    <row r="716">
      <c r="D716" s="36"/>
      <c r="E716" s="36"/>
    </row>
    <row r="717">
      <c r="D717" s="36"/>
      <c r="E717" s="36"/>
    </row>
    <row r="718">
      <c r="D718" s="36"/>
      <c r="E718" s="36"/>
    </row>
    <row r="719">
      <c r="D719" s="36"/>
      <c r="E719" s="36"/>
    </row>
    <row r="720">
      <c r="D720" s="36"/>
      <c r="E720" s="36"/>
    </row>
    <row r="721">
      <c r="D721" s="36"/>
      <c r="E721" s="36"/>
    </row>
    <row r="722">
      <c r="D722" s="36"/>
      <c r="E722" s="36"/>
    </row>
    <row r="723">
      <c r="D723" s="36"/>
      <c r="E723" s="36"/>
    </row>
    <row r="724">
      <c r="D724" s="36"/>
      <c r="E724" s="36"/>
    </row>
    <row r="725">
      <c r="D725" s="36"/>
      <c r="E725" s="36"/>
    </row>
    <row r="726">
      <c r="D726" s="36"/>
      <c r="E726" s="36"/>
    </row>
    <row r="727">
      <c r="D727" s="36"/>
      <c r="E727" s="36"/>
    </row>
    <row r="728">
      <c r="D728" s="36"/>
      <c r="E728" s="36"/>
    </row>
    <row r="729">
      <c r="D729" s="36"/>
      <c r="E729" s="36"/>
    </row>
    <row r="730">
      <c r="D730" s="36"/>
      <c r="E730" s="36"/>
    </row>
    <row r="731">
      <c r="D731" s="36"/>
      <c r="E731" s="36"/>
    </row>
    <row r="732">
      <c r="D732" s="36"/>
      <c r="E732" s="36"/>
    </row>
    <row r="733">
      <c r="D733" s="36"/>
      <c r="E733" s="36"/>
    </row>
    <row r="734">
      <c r="D734" s="36"/>
      <c r="E734" s="36"/>
    </row>
    <row r="735">
      <c r="D735" s="36"/>
      <c r="E735" s="36"/>
    </row>
    <row r="736">
      <c r="D736" s="36"/>
      <c r="E736" s="36"/>
    </row>
    <row r="737">
      <c r="D737" s="36"/>
      <c r="E737" s="36"/>
    </row>
    <row r="738">
      <c r="D738" s="36"/>
      <c r="E738" s="36"/>
    </row>
    <row r="739">
      <c r="D739" s="36"/>
      <c r="E739" s="36"/>
    </row>
    <row r="740">
      <c r="D740" s="36"/>
      <c r="E740" s="36"/>
    </row>
    <row r="741">
      <c r="D741" s="36"/>
      <c r="E741" s="36"/>
    </row>
    <row r="742">
      <c r="D742" s="36"/>
      <c r="E742" s="36"/>
    </row>
    <row r="743">
      <c r="D743" s="36"/>
      <c r="E743" s="36"/>
    </row>
    <row r="744">
      <c r="D744" s="36"/>
      <c r="E744" s="36"/>
    </row>
    <row r="745">
      <c r="D745" s="36"/>
      <c r="E745" s="36"/>
    </row>
    <row r="746">
      <c r="D746" s="36"/>
      <c r="E746" s="36"/>
    </row>
    <row r="747">
      <c r="D747" s="36"/>
      <c r="E747" s="36"/>
    </row>
    <row r="748">
      <c r="D748" s="36"/>
      <c r="E748" s="36"/>
    </row>
    <row r="749">
      <c r="D749" s="36"/>
      <c r="E749" s="36"/>
    </row>
    <row r="750">
      <c r="D750" s="36"/>
      <c r="E750" s="36"/>
    </row>
    <row r="751">
      <c r="D751" s="36"/>
      <c r="E751" s="36"/>
    </row>
    <row r="752">
      <c r="D752" s="36"/>
      <c r="E752" s="36"/>
    </row>
    <row r="753">
      <c r="D753" s="36"/>
      <c r="E753" s="36"/>
    </row>
    <row r="754">
      <c r="D754" s="36"/>
      <c r="E754" s="36"/>
    </row>
    <row r="755">
      <c r="D755" s="36"/>
      <c r="E755" s="36"/>
    </row>
    <row r="756">
      <c r="D756" s="36"/>
      <c r="E756" s="36"/>
    </row>
    <row r="757">
      <c r="D757" s="36"/>
      <c r="E757" s="36"/>
    </row>
    <row r="758">
      <c r="D758" s="36"/>
      <c r="E758" s="36"/>
    </row>
    <row r="759">
      <c r="D759" s="36"/>
      <c r="E759" s="36"/>
    </row>
    <row r="760">
      <c r="D760" s="36"/>
      <c r="E760" s="36"/>
    </row>
    <row r="761">
      <c r="D761" s="36"/>
      <c r="E761" s="36"/>
    </row>
    <row r="762">
      <c r="D762" s="36"/>
      <c r="E762" s="36"/>
    </row>
    <row r="763">
      <c r="D763" s="36"/>
      <c r="E763" s="36"/>
    </row>
    <row r="764">
      <c r="D764" s="36"/>
      <c r="E764" s="36"/>
    </row>
    <row r="765">
      <c r="D765" s="36"/>
      <c r="E765" s="36"/>
    </row>
    <row r="766">
      <c r="D766" s="36"/>
      <c r="E766" s="36"/>
    </row>
    <row r="767">
      <c r="D767" s="36"/>
      <c r="E767" s="36"/>
    </row>
    <row r="768">
      <c r="D768" s="36"/>
      <c r="E768" s="36"/>
    </row>
    <row r="769">
      <c r="D769" s="36"/>
      <c r="E769" s="36"/>
    </row>
    <row r="770">
      <c r="D770" s="36"/>
      <c r="E770" s="36"/>
    </row>
    <row r="771">
      <c r="D771" s="36"/>
      <c r="E771" s="36"/>
    </row>
    <row r="772">
      <c r="D772" s="36"/>
      <c r="E772" s="36"/>
    </row>
    <row r="773">
      <c r="D773" s="36"/>
      <c r="E773" s="36"/>
    </row>
    <row r="774">
      <c r="D774" s="36"/>
      <c r="E774" s="36"/>
    </row>
    <row r="775">
      <c r="D775" s="36"/>
      <c r="E775" s="36"/>
    </row>
    <row r="776">
      <c r="D776" s="36"/>
      <c r="E776" s="36"/>
    </row>
    <row r="777">
      <c r="D777" s="36"/>
      <c r="E777" s="36"/>
    </row>
    <row r="778">
      <c r="D778" s="36"/>
      <c r="E778" s="36"/>
    </row>
    <row r="779">
      <c r="D779" s="36"/>
      <c r="E779" s="36"/>
    </row>
    <row r="780">
      <c r="D780" s="36"/>
      <c r="E780" s="36"/>
    </row>
    <row r="781">
      <c r="D781" s="36"/>
      <c r="E781" s="36"/>
    </row>
    <row r="782">
      <c r="D782" s="36"/>
      <c r="E782" s="36"/>
    </row>
    <row r="783">
      <c r="D783" s="36"/>
      <c r="E783" s="36"/>
    </row>
    <row r="784">
      <c r="D784" s="36"/>
      <c r="E784" s="36"/>
    </row>
    <row r="785">
      <c r="D785" s="36"/>
      <c r="E785" s="36"/>
    </row>
    <row r="786">
      <c r="D786" s="36"/>
      <c r="E786" s="36"/>
    </row>
    <row r="787">
      <c r="D787" s="36"/>
      <c r="E787" s="36"/>
    </row>
    <row r="788">
      <c r="D788" s="36"/>
      <c r="E788" s="36"/>
    </row>
    <row r="789">
      <c r="D789" s="36"/>
      <c r="E789" s="36"/>
    </row>
    <row r="790">
      <c r="D790" s="36"/>
      <c r="E790" s="36"/>
    </row>
    <row r="791">
      <c r="D791" s="36"/>
      <c r="E791" s="36"/>
    </row>
    <row r="792">
      <c r="D792" s="36"/>
      <c r="E792" s="36"/>
    </row>
    <row r="793">
      <c r="D793" s="36"/>
      <c r="E793" s="36"/>
    </row>
    <row r="794">
      <c r="D794" s="36"/>
      <c r="E794" s="36"/>
    </row>
    <row r="795">
      <c r="D795" s="36"/>
      <c r="E795" s="36"/>
    </row>
    <row r="796">
      <c r="D796" s="36"/>
      <c r="E796" s="36"/>
    </row>
    <row r="797">
      <c r="D797" s="36"/>
      <c r="E797" s="36"/>
    </row>
    <row r="798">
      <c r="D798" s="36"/>
      <c r="E798" s="36"/>
    </row>
    <row r="799">
      <c r="D799" s="36"/>
      <c r="E799" s="36"/>
    </row>
    <row r="800">
      <c r="D800" s="36"/>
      <c r="E800" s="36"/>
    </row>
    <row r="801">
      <c r="D801" s="36"/>
      <c r="E801" s="36"/>
    </row>
    <row r="802">
      <c r="D802" s="36"/>
      <c r="E802" s="36"/>
    </row>
    <row r="803">
      <c r="D803" s="36"/>
      <c r="E803" s="36"/>
    </row>
    <row r="804">
      <c r="D804" s="36"/>
      <c r="E804" s="36"/>
    </row>
    <row r="805">
      <c r="D805" s="36"/>
      <c r="E805" s="36"/>
    </row>
    <row r="806">
      <c r="D806" s="36"/>
      <c r="E806" s="36"/>
    </row>
    <row r="807">
      <c r="D807" s="36"/>
      <c r="E807" s="36"/>
    </row>
    <row r="808">
      <c r="D808" s="36"/>
      <c r="E808" s="36"/>
    </row>
    <row r="809">
      <c r="D809" s="36"/>
      <c r="E809" s="36"/>
    </row>
    <row r="810">
      <c r="D810" s="36"/>
      <c r="E810" s="36"/>
    </row>
    <row r="811">
      <c r="D811" s="36"/>
      <c r="E811" s="36"/>
    </row>
    <row r="812">
      <c r="D812" s="36"/>
      <c r="E812" s="36"/>
    </row>
    <row r="813">
      <c r="D813" s="36"/>
      <c r="E813" s="36"/>
    </row>
    <row r="814">
      <c r="D814" s="36"/>
      <c r="E814" s="36"/>
    </row>
    <row r="815">
      <c r="D815" s="36"/>
      <c r="E815" s="36"/>
    </row>
    <row r="816">
      <c r="D816" s="36"/>
      <c r="E816" s="36"/>
    </row>
    <row r="817">
      <c r="D817" s="36"/>
      <c r="E817" s="36"/>
    </row>
    <row r="818">
      <c r="D818" s="36"/>
      <c r="E818" s="36"/>
    </row>
    <row r="819">
      <c r="D819" s="36"/>
      <c r="E819" s="36"/>
    </row>
    <row r="820">
      <c r="D820" s="36"/>
      <c r="E820" s="36"/>
    </row>
    <row r="821">
      <c r="D821" s="36"/>
      <c r="E821" s="36"/>
    </row>
    <row r="822">
      <c r="D822" s="36"/>
      <c r="E822" s="36"/>
    </row>
    <row r="823">
      <c r="D823" s="36"/>
      <c r="E823" s="36"/>
    </row>
    <row r="824">
      <c r="D824" s="36"/>
      <c r="E824" s="36"/>
    </row>
    <row r="825">
      <c r="D825" s="36"/>
      <c r="E825" s="36"/>
    </row>
    <row r="826">
      <c r="D826" s="36"/>
      <c r="E826" s="36"/>
    </row>
    <row r="827">
      <c r="D827" s="36"/>
      <c r="E827" s="36"/>
    </row>
    <row r="828">
      <c r="D828" s="36"/>
      <c r="E828" s="36"/>
    </row>
    <row r="829">
      <c r="D829" s="36"/>
      <c r="E829" s="36"/>
    </row>
    <row r="830">
      <c r="D830" s="36"/>
      <c r="E830" s="36"/>
    </row>
    <row r="831">
      <c r="D831" s="36"/>
      <c r="E831" s="36"/>
    </row>
    <row r="832">
      <c r="D832" s="36"/>
      <c r="E832" s="36"/>
    </row>
    <row r="833">
      <c r="D833" s="36"/>
      <c r="E833" s="36"/>
    </row>
    <row r="834">
      <c r="D834" s="36"/>
      <c r="E834" s="36"/>
    </row>
    <row r="835">
      <c r="D835" s="36"/>
      <c r="E835" s="36"/>
    </row>
    <row r="836">
      <c r="D836" s="36"/>
      <c r="E836" s="36"/>
    </row>
    <row r="837">
      <c r="D837" s="36"/>
      <c r="E837" s="36"/>
    </row>
    <row r="838">
      <c r="D838" s="36"/>
      <c r="E838" s="36"/>
    </row>
    <row r="839">
      <c r="D839" s="36"/>
      <c r="E839" s="36"/>
    </row>
    <row r="840">
      <c r="D840" s="36"/>
      <c r="E840" s="36"/>
    </row>
    <row r="841">
      <c r="D841" s="36"/>
      <c r="E841" s="36"/>
    </row>
    <row r="842">
      <c r="D842" s="36"/>
      <c r="E842" s="36"/>
    </row>
    <row r="843">
      <c r="D843" s="36"/>
      <c r="E843" s="36"/>
    </row>
    <row r="844">
      <c r="D844" s="36"/>
      <c r="E844" s="36"/>
    </row>
    <row r="845">
      <c r="D845" s="36"/>
      <c r="E845" s="36"/>
    </row>
    <row r="846">
      <c r="D846" s="36"/>
      <c r="E846" s="36"/>
    </row>
    <row r="847">
      <c r="D847" s="36"/>
      <c r="E847" s="36"/>
    </row>
    <row r="848">
      <c r="D848" s="36"/>
      <c r="E848" s="36"/>
    </row>
    <row r="849">
      <c r="D849" s="36"/>
      <c r="E849" s="36"/>
    </row>
    <row r="850">
      <c r="D850" s="36"/>
      <c r="E850" s="36"/>
    </row>
    <row r="851">
      <c r="D851" s="36"/>
      <c r="E851" s="36"/>
    </row>
    <row r="852">
      <c r="D852" s="36"/>
      <c r="E852" s="36"/>
    </row>
    <row r="853">
      <c r="D853" s="36"/>
      <c r="E853" s="36"/>
    </row>
    <row r="854">
      <c r="D854" s="36"/>
      <c r="E854" s="36"/>
    </row>
    <row r="855">
      <c r="D855" s="36"/>
      <c r="E855" s="36"/>
    </row>
    <row r="856">
      <c r="D856" s="36"/>
      <c r="E856" s="36"/>
    </row>
    <row r="857">
      <c r="D857" s="36"/>
      <c r="E857" s="36"/>
    </row>
    <row r="858">
      <c r="D858" s="36"/>
      <c r="E858" s="36"/>
    </row>
    <row r="859">
      <c r="D859" s="36"/>
      <c r="E859" s="36"/>
    </row>
    <row r="860">
      <c r="D860" s="36"/>
      <c r="E860" s="36"/>
    </row>
    <row r="861">
      <c r="D861" s="36"/>
      <c r="E861" s="36"/>
    </row>
    <row r="862">
      <c r="D862" s="36"/>
      <c r="E862" s="36"/>
    </row>
    <row r="863">
      <c r="D863" s="36"/>
      <c r="E863" s="36"/>
    </row>
    <row r="864">
      <c r="D864" s="36"/>
      <c r="E864" s="36"/>
    </row>
    <row r="865">
      <c r="D865" s="36"/>
      <c r="E865" s="36"/>
    </row>
    <row r="866">
      <c r="D866" s="36"/>
      <c r="E866" s="36"/>
    </row>
    <row r="867">
      <c r="D867" s="36"/>
      <c r="E867" s="36"/>
    </row>
    <row r="868">
      <c r="D868" s="36"/>
      <c r="E868" s="36"/>
    </row>
    <row r="869">
      <c r="D869" s="36"/>
      <c r="E869" s="36"/>
    </row>
    <row r="870">
      <c r="D870" s="36"/>
      <c r="E870" s="36"/>
    </row>
    <row r="871">
      <c r="D871" s="36"/>
      <c r="E871" s="36"/>
    </row>
    <row r="872">
      <c r="D872" s="36"/>
      <c r="E872" s="36"/>
    </row>
    <row r="873">
      <c r="D873" s="36"/>
      <c r="E873" s="36"/>
    </row>
    <row r="874">
      <c r="D874" s="36"/>
      <c r="E874" s="36"/>
    </row>
    <row r="875">
      <c r="D875" s="36"/>
      <c r="E875" s="36"/>
    </row>
    <row r="876">
      <c r="D876" s="36"/>
      <c r="E876" s="36"/>
    </row>
    <row r="877">
      <c r="D877" s="36"/>
      <c r="E877" s="36"/>
    </row>
    <row r="878">
      <c r="D878" s="36"/>
      <c r="E878" s="36"/>
    </row>
    <row r="879">
      <c r="D879" s="36"/>
      <c r="E879" s="36"/>
    </row>
    <row r="880">
      <c r="D880" s="36"/>
      <c r="E880" s="36"/>
    </row>
    <row r="881">
      <c r="D881" s="36"/>
      <c r="E881" s="36"/>
    </row>
    <row r="882">
      <c r="D882" s="36"/>
      <c r="E882" s="36"/>
    </row>
    <row r="883">
      <c r="D883" s="36"/>
      <c r="E883" s="36"/>
    </row>
    <row r="884">
      <c r="D884" s="36"/>
      <c r="E884" s="36"/>
    </row>
    <row r="885">
      <c r="D885" s="36"/>
      <c r="E885" s="36"/>
    </row>
    <row r="886">
      <c r="D886" s="36"/>
      <c r="E886" s="36"/>
    </row>
    <row r="887">
      <c r="D887" s="36"/>
      <c r="E887" s="36"/>
    </row>
    <row r="888">
      <c r="D888" s="36"/>
      <c r="E888" s="36"/>
    </row>
    <row r="889">
      <c r="D889" s="36"/>
      <c r="E889" s="36"/>
    </row>
    <row r="890">
      <c r="D890" s="36"/>
      <c r="E890" s="36"/>
    </row>
    <row r="891">
      <c r="D891" s="36"/>
      <c r="E891" s="36"/>
    </row>
    <row r="892">
      <c r="D892" s="36"/>
      <c r="E892" s="36"/>
    </row>
    <row r="893">
      <c r="D893" s="36"/>
      <c r="E893" s="36"/>
    </row>
    <row r="894">
      <c r="D894" s="36"/>
      <c r="E894" s="36"/>
    </row>
    <row r="895">
      <c r="D895" s="36"/>
      <c r="E895" s="36"/>
    </row>
    <row r="896">
      <c r="D896" s="36"/>
      <c r="E896" s="36"/>
    </row>
    <row r="897">
      <c r="D897" s="36"/>
      <c r="E897" s="36"/>
    </row>
    <row r="898">
      <c r="D898" s="36"/>
      <c r="E898" s="36"/>
    </row>
    <row r="899">
      <c r="D899" s="36"/>
      <c r="E899" s="36"/>
    </row>
    <row r="900">
      <c r="D900" s="36"/>
      <c r="E900" s="36"/>
    </row>
    <row r="901">
      <c r="D901" s="36"/>
      <c r="E901" s="36"/>
    </row>
    <row r="902">
      <c r="D902" s="36"/>
      <c r="E902" s="36"/>
    </row>
    <row r="903">
      <c r="D903" s="36"/>
      <c r="E903" s="36"/>
    </row>
    <row r="904">
      <c r="D904" s="36"/>
      <c r="E904" s="36"/>
    </row>
    <row r="905">
      <c r="D905" s="36"/>
      <c r="E905" s="36"/>
    </row>
    <row r="906">
      <c r="D906" s="36"/>
      <c r="E906" s="36"/>
    </row>
    <row r="907">
      <c r="D907" s="36"/>
      <c r="E907" s="36"/>
    </row>
    <row r="908">
      <c r="D908" s="36"/>
      <c r="E908" s="36"/>
    </row>
    <row r="909">
      <c r="D909" s="36"/>
      <c r="E909" s="36"/>
    </row>
    <row r="910">
      <c r="D910" s="36"/>
      <c r="E910" s="36"/>
    </row>
    <row r="911">
      <c r="D911" s="36"/>
      <c r="E911" s="36"/>
    </row>
    <row r="912">
      <c r="D912" s="36"/>
      <c r="E912" s="36"/>
    </row>
    <row r="913">
      <c r="D913" s="36"/>
      <c r="E913" s="36"/>
    </row>
    <row r="914">
      <c r="D914" s="36"/>
      <c r="E914" s="36"/>
    </row>
    <row r="915">
      <c r="D915" s="36"/>
      <c r="E915" s="36"/>
    </row>
    <row r="916">
      <c r="D916" s="36"/>
      <c r="E916" s="36"/>
    </row>
    <row r="917">
      <c r="D917" s="36"/>
      <c r="E917" s="36"/>
    </row>
    <row r="918">
      <c r="D918" s="36"/>
      <c r="E918" s="36"/>
    </row>
    <row r="919">
      <c r="D919" s="36"/>
      <c r="E919" s="36"/>
    </row>
    <row r="920">
      <c r="D920" s="36"/>
      <c r="E920" s="36"/>
    </row>
    <row r="921">
      <c r="D921" s="36"/>
      <c r="E921" s="36"/>
    </row>
    <row r="922">
      <c r="D922" s="36"/>
      <c r="E922" s="36"/>
    </row>
    <row r="923">
      <c r="D923" s="36"/>
      <c r="E923" s="36"/>
    </row>
    <row r="924">
      <c r="D924" s="36"/>
      <c r="E924" s="36"/>
    </row>
    <row r="925">
      <c r="D925" s="36"/>
      <c r="E925" s="36"/>
    </row>
    <row r="926">
      <c r="D926" s="36"/>
      <c r="E926" s="36"/>
    </row>
    <row r="927">
      <c r="D927" s="36"/>
      <c r="E927" s="36"/>
    </row>
    <row r="928">
      <c r="D928" s="36"/>
      <c r="E928" s="36"/>
    </row>
    <row r="929">
      <c r="D929" s="36"/>
      <c r="E929" s="36"/>
    </row>
    <row r="930">
      <c r="D930" s="36"/>
      <c r="E930" s="36"/>
    </row>
    <row r="931">
      <c r="D931" s="36"/>
      <c r="E931" s="36"/>
    </row>
    <row r="932">
      <c r="D932" s="36"/>
      <c r="E932" s="36"/>
    </row>
    <row r="933">
      <c r="D933" s="36"/>
      <c r="E933" s="36"/>
    </row>
    <row r="934">
      <c r="D934" s="36"/>
      <c r="E934" s="36"/>
    </row>
    <row r="935">
      <c r="D935" s="36"/>
      <c r="E935" s="36"/>
    </row>
    <row r="936">
      <c r="D936" s="36"/>
      <c r="E936" s="36"/>
    </row>
    <row r="937">
      <c r="D937" s="36"/>
      <c r="E937" s="36"/>
    </row>
    <row r="938">
      <c r="D938" s="36"/>
      <c r="E938" s="36"/>
    </row>
    <row r="939">
      <c r="D939" s="36"/>
      <c r="E939" s="36"/>
    </row>
    <row r="940">
      <c r="D940" s="36"/>
      <c r="E940" s="36"/>
    </row>
    <row r="941">
      <c r="D941" s="36"/>
      <c r="E941" s="36"/>
    </row>
    <row r="942">
      <c r="D942" s="36"/>
      <c r="E942" s="36"/>
    </row>
    <row r="943">
      <c r="D943" s="36"/>
      <c r="E943" s="36"/>
    </row>
    <row r="944">
      <c r="D944" s="36"/>
      <c r="E944" s="36"/>
    </row>
    <row r="945">
      <c r="D945" s="36"/>
      <c r="E945" s="36"/>
    </row>
    <row r="946">
      <c r="D946" s="36"/>
      <c r="E946" s="36"/>
    </row>
    <row r="947">
      <c r="D947" s="36"/>
      <c r="E947" s="36"/>
    </row>
    <row r="948">
      <c r="D948" s="36"/>
      <c r="E948" s="36"/>
    </row>
    <row r="949">
      <c r="D949" s="36"/>
      <c r="E949" s="36"/>
    </row>
    <row r="950">
      <c r="D950" s="36"/>
      <c r="E950" s="36"/>
    </row>
    <row r="951">
      <c r="D951" s="36"/>
      <c r="E951" s="36"/>
    </row>
    <row r="952">
      <c r="D952" s="36"/>
      <c r="E952" s="36"/>
    </row>
    <row r="953">
      <c r="D953" s="36"/>
      <c r="E953" s="36"/>
    </row>
    <row r="954">
      <c r="D954" s="36"/>
      <c r="E954" s="36"/>
    </row>
    <row r="955">
      <c r="D955" s="36"/>
      <c r="E955" s="36"/>
    </row>
    <row r="956">
      <c r="D956" s="36"/>
      <c r="E956" s="36"/>
    </row>
    <row r="957">
      <c r="D957" s="36"/>
      <c r="E957" s="36"/>
    </row>
    <row r="958">
      <c r="D958" s="36"/>
      <c r="E958" s="36"/>
    </row>
    <row r="959">
      <c r="D959" s="36"/>
      <c r="E959" s="36"/>
    </row>
    <row r="960">
      <c r="D960" s="36"/>
      <c r="E960" s="36"/>
    </row>
    <row r="961">
      <c r="D961" s="36"/>
      <c r="E961" s="36"/>
    </row>
    <row r="962">
      <c r="D962" s="36"/>
      <c r="E962" s="36"/>
    </row>
    <row r="963">
      <c r="D963" s="36"/>
      <c r="E963" s="36"/>
    </row>
    <row r="964">
      <c r="D964" s="36"/>
      <c r="E964" s="36"/>
    </row>
    <row r="965">
      <c r="D965" s="36"/>
      <c r="E965" s="36"/>
    </row>
    <row r="966">
      <c r="D966" s="36"/>
      <c r="E966" s="36"/>
    </row>
    <row r="967">
      <c r="D967" s="36"/>
      <c r="E967" s="36"/>
    </row>
    <row r="968">
      <c r="D968" s="36"/>
      <c r="E968" s="36"/>
    </row>
    <row r="969">
      <c r="D969" s="36"/>
      <c r="E969" s="36"/>
    </row>
    <row r="970">
      <c r="D970" s="36"/>
      <c r="E970" s="36"/>
    </row>
    <row r="971">
      <c r="D971" s="36"/>
      <c r="E971" s="36"/>
    </row>
    <row r="972">
      <c r="D972" s="36"/>
      <c r="E972" s="36"/>
    </row>
    <row r="973">
      <c r="D973" s="36"/>
      <c r="E973" s="36"/>
    </row>
    <row r="974">
      <c r="D974" s="36"/>
      <c r="E974" s="36"/>
    </row>
    <row r="975">
      <c r="D975" s="36"/>
      <c r="E975" s="36"/>
    </row>
    <row r="976">
      <c r="D976" s="36"/>
      <c r="E976" s="36"/>
    </row>
    <row r="977">
      <c r="D977" s="36"/>
      <c r="E977" s="36"/>
    </row>
    <row r="978">
      <c r="D978" s="36"/>
      <c r="E978" s="36"/>
    </row>
    <row r="979">
      <c r="D979" s="36"/>
      <c r="E979" s="36"/>
    </row>
    <row r="980">
      <c r="D980" s="36"/>
      <c r="E980" s="36"/>
    </row>
    <row r="981">
      <c r="D981" s="36"/>
      <c r="E981" s="36"/>
    </row>
    <row r="982">
      <c r="D982" s="36"/>
      <c r="E982" s="36"/>
    </row>
    <row r="983">
      <c r="D983" s="36"/>
      <c r="E983" s="36"/>
    </row>
    <row r="984">
      <c r="D984" s="36"/>
      <c r="E984" s="36"/>
    </row>
    <row r="985">
      <c r="D985" s="36"/>
      <c r="E985" s="36"/>
    </row>
    <row r="986">
      <c r="D986" s="36"/>
      <c r="E986" s="36"/>
    </row>
    <row r="987">
      <c r="D987" s="36"/>
      <c r="E987" s="36"/>
    </row>
    <row r="988">
      <c r="D988" s="36"/>
      <c r="E988" s="36"/>
    </row>
    <row r="989">
      <c r="D989" s="36"/>
      <c r="E989" s="36"/>
    </row>
    <row r="990">
      <c r="D990" s="36"/>
      <c r="E990" s="36"/>
    </row>
    <row r="991">
      <c r="D991" s="36"/>
      <c r="E991" s="36"/>
    </row>
    <row r="992">
      <c r="D992" s="36"/>
      <c r="E992" s="36"/>
    </row>
    <row r="993">
      <c r="D993" s="36"/>
      <c r="E993" s="36"/>
    </row>
    <row r="994">
      <c r="D994" s="36"/>
      <c r="E994" s="36"/>
    </row>
    <row r="995">
      <c r="D995" s="36"/>
      <c r="E995" s="36"/>
    </row>
    <row r="996">
      <c r="D996" s="36"/>
      <c r="E996" s="36"/>
    </row>
    <row r="997">
      <c r="D997" s="36"/>
      <c r="E997" s="36"/>
    </row>
    <row r="998">
      <c r="D998" s="36"/>
      <c r="E998" s="36"/>
    </row>
    <row r="999">
      <c r="D999" s="36"/>
      <c r="E999" s="36"/>
    </row>
    <row r="1000">
      <c r="D1000" s="36"/>
      <c r="E1000" s="36"/>
    </row>
    <row r="1001">
      <c r="D1001" s="36"/>
      <c r="E1001" s="36"/>
    </row>
    <row r="1002">
      <c r="D1002" s="36"/>
      <c r="E1002" s="36"/>
    </row>
    <row r="1003">
      <c r="D1003" s="36"/>
      <c r="E1003" s="36"/>
    </row>
    <row r="1004">
      <c r="D1004" s="36"/>
      <c r="E1004" s="36"/>
    </row>
    <row r="1005">
      <c r="D1005" s="36"/>
      <c r="E1005" s="36"/>
    </row>
    <row r="1006">
      <c r="D1006" s="36"/>
      <c r="E1006" s="36"/>
    </row>
    <row r="1007">
      <c r="D1007" s="36"/>
      <c r="E1007" s="36"/>
    </row>
    <row r="1008">
      <c r="D1008" s="36"/>
      <c r="E1008" s="36"/>
    </row>
  </sheetData>
  <drawing r:id="rId1"/>
</worksheet>
</file>